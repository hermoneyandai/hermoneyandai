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💰 TFSA Tracker" sheetId="2" state="visible" r:id="rId4"/>
    <sheet name="🏠 FHSA Tracker" sheetId="3" state="visible" r:id="rId5"/>
    <sheet name="🏦 RRSP Tracker" sheetId="4" state="visible" r:id="rId6"/>
    <sheet name="📊 Summary" sheetId="5" state="visible" r:id="rId7"/>
    <sheet name="🍁 Canada Ti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<sst xmlns="http://schemas.openxmlformats.org/spreadsheetml/2006/main" count="232" uniqueCount="186">
  <si>
    <t xml:space="preserve">TFSA / RRSP / FHSA TRACKER</t>
  </si>
  <si>
    <t xml:space="preserve">Track • Plan • Grow Your Wealth with AI-Powered Insights</t>
  </si>
  <si>
    <t xml:space="preserve">Her Money &amp; AI  |  AI-Powered Finance Education  |  hermoneyandai.ca</t>
  </si>
  <si>
    <t xml:space="preserve">"You educate a man; you educate a man. You educate a woman; you educate a generation."</t>
  </si>
  <si>
    <t xml:space="preserve">— Her Money &amp; AI Mission</t>
  </si>
  <si>
    <t xml:space="preserve">  ABOUT THIS TEMPLATE</t>
  </si>
  <si>
    <t xml:space="preserve">Track your Canadian registered accounts in one place. Enter your contribution room from CRA My Account, your balances, and contributions to see remaining room, projected growth, and tax savings at a glance.</t>
  </si>
  <si>
    <t xml:space="preserve">  WHAT'S IN THIS FILE</t>
  </si>
  <si>
    <t xml:space="preserve">Sheet Name</t>
  </si>
  <si>
    <t xml:space="preserve">Purpose</t>
  </si>
  <si>
    <t xml:space="preserve">How to Use</t>
  </si>
  <si>
    <t xml:space="preserve">Notes</t>
  </si>
  <si>
    <t xml:space="preserve">📋 Instructions</t>
  </si>
  <si>
    <t xml:space="preserve">Welcome &amp; how-to</t>
  </si>
  <si>
    <t xml:space="preserve">Read first</t>
  </si>
  <si>
    <t xml:space="preserve">You are here</t>
  </si>
  <si>
    <t xml:space="preserve">💰 TFSA Tracker</t>
  </si>
  <si>
    <t xml:space="preserve">Tax-Free Savings Account</t>
  </si>
  <si>
    <t xml:space="preserve">Enter room &amp; contributions</t>
  </si>
  <si>
    <t xml:space="preserve">2025 limit: $7,000</t>
  </si>
  <si>
    <t xml:space="preserve">🏠 FHSA Tracker</t>
  </si>
  <si>
    <t xml:space="preserve">First Home Savings Account</t>
  </si>
  <si>
    <t xml:space="preserve">Enter contributions &amp; goal</t>
  </si>
  <si>
    <t xml:space="preserve">Annual: $8,000 | Lifetime: $40,000</t>
  </si>
  <si>
    <t xml:space="preserve">🏦 RRSP Tracker</t>
  </si>
  <si>
    <t xml:space="preserve">Registered Retirement Savings</t>
  </si>
  <si>
    <t xml:space="preserve">Enter income &amp; contributions</t>
  </si>
  <si>
    <t xml:space="preserve">2025 max: $32,490</t>
  </si>
  <si>
    <t xml:space="preserve">📊 Summary</t>
  </si>
  <si>
    <t xml:space="preserve">All-accounts dashboard</t>
  </si>
  <si>
    <t xml:space="preserve">Auto-calculates</t>
  </si>
  <si>
    <t xml:space="preserve">Read-only</t>
  </si>
  <si>
    <t xml:space="preserve">🍁 Canada Tips</t>
  </si>
  <si>
    <t xml:space="preserve">Key rules &amp; 2025 limits</t>
  </si>
  <si>
    <t xml:space="preserve">Reference sheet</t>
  </si>
  <si>
    <t xml:space="preserve">Always verify with CRA</t>
  </si>
  <si>
    <t xml:space="preserve">  COLOUR CODING GUIDE</t>
  </si>
  <si>
    <t xml:space="preserve">🔵 Blue text</t>
  </si>
  <si>
    <t xml:space="preserve">Input cells — these are for YOU to fill in</t>
  </si>
  <si>
    <t xml:space="preserve">⚫ Dark text</t>
  </si>
  <si>
    <t xml:space="preserve">Calculated formulas — do not edit these</t>
  </si>
  <si>
    <t xml:space="preserve">🟡 Gold/Yellow background</t>
  </si>
  <si>
    <t xml:space="preserve">EDUCATIONAL USE DISCLAIMER section</t>
  </si>
  <si>
    <t xml:space="preserve">🟢 Green/Teal header</t>
  </si>
  <si>
    <t xml:space="preserve">Section groupings for easy navigation</t>
  </si>
  <si>
    <t xml:space="preserve">  💡 AI TIPS — USE THESE PROMPTS WITH CHATGPT OR CLAUDE</t>
  </si>
  <si>
    <t xml:space="preserve">"I have $[X] TFSA room and $[Y] RRSP room. I can invest $[Z]. How should I split it for maximum tax efficiency?"</t>
  </si>
  <si>
    <t xml:space="preserve">"Explain the FHSA to me — who qualifies, what are the limits, and how do I use it to buy my first home in Canada?"</t>
  </si>
  <si>
    <t xml:space="preserve">"I earn $[X]/year in [province]. Should I prioritize RRSP or TFSA contributions this year? My marginal tax rate is approximately [Z]%."</t>
  </si>
  <si>
    <t xml:space="preserve">"What happens to my FHSA if I don't buy a home within 15 years? What are my options?"</t>
  </si>
  <si>
    <t xml:space="preserve">EDUCATIONAL USE DISCLAIMER</t>
  </si>
  <si>
    <t xml:space="preserve">⚠️  DISCLAIMER: This template is for educational and informational purposes only.</t>
  </si>
  <si>
    <t xml:space="preserve">It does not constitute personalized financial, investment, tax, or legal advice.</t>
  </si>
  <si>
    <t xml:space="preserve">Consult a registered financial advisor for advice specific to your situation.</t>
  </si>
  <si>
    <t xml:space="preserve">© Her Money &amp; AI  |  AI-Powered Finance Education  |  hermoneyandai.ca</t>
  </si>
  <si>
    <t xml:space="preserve">TFSA TRACKER</t>
  </si>
  <si>
    <t xml:space="preserve">Tax-Free Savings Account — 2025 Annual Limit: $7,000</t>
  </si>
  <si>
    <t xml:space="preserve">  CONTRIBUTION ROOM CALCULATOR</t>
  </si>
  <si>
    <t xml:space="preserve">Description</t>
  </si>
  <si>
    <t xml:space="preserve">Your Amount</t>
  </si>
  <si>
    <t xml:space="preserve">2025 Annual Contribution Limit</t>
  </si>
  <si>
    <t xml:space="preserve">Fixed at $7,000 for 2025</t>
  </si>
  <si>
    <t xml:space="preserve">Carry-Forward Room (prior years)</t>
  </si>
  <si>
    <t xml:space="preserve">Check CRA My Account</t>
  </si>
  <si>
    <t xml:space="preserve">Total Available Room</t>
  </si>
  <si>
    <t xml:space="preserve">Calculated automatically</t>
  </si>
  <si>
    <t xml:space="preserve">YTD Contributions Made (2025)</t>
  </si>
  <si>
    <t xml:space="preserve">What you've contributed so far</t>
  </si>
  <si>
    <t xml:space="preserve">Remaining Contribution Room</t>
  </si>
  <si>
    <t xml:space="preserve">Do not over-contribute — 1% penalty/month</t>
  </si>
  <si>
    <t xml:space="preserve">  BALANCE &amp; GROWTH TRACKER</t>
  </si>
  <si>
    <t xml:space="preserve">Account / Investment</t>
  </si>
  <si>
    <t xml:space="preserve">Current Balance</t>
  </si>
  <si>
    <t xml:space="preserve">Prior Year Balance</t>
  </si>
  <si>
    <t xml:space="preserve">Growth ($)</t>
  </si>
  <si>
    <t xml:space="preserve">TFSA – Savings Account</t>
  </si>
  <si>
    <t xml:space="preserve">TFSA – GIC / Term Deposit</t>
  </si>
  <si>
    <t xml:space="preserve">TFSA – ETFs / Index Funds</t>
  </si>
  <si>
    <t xml:space="preserve">TFSA – Stocks</t>
  </si>
  <si>
    <t xml:space="preserve">TFSA – Mutual Funds</t>
  </si>
  <si>
    <t xml:space="preserve">Other TFSA Holdings</t>
  </si>
  <si>
    <t xml:space="preserve">TOTAL TFSA BALANCE</t>
  </si>
  <si>
    <t xml:space="preserve">📌  Withdrawals from your TFSA are added back to your contribution room on January 1 of the following year.</t>
  </si>
  <si>
    <t xml:space="preserve">📌  Over-contributing to your TFSA triggers a 1% penalty per month on the excess. Always verify room with CRA My Account.</t>
  </si>
  <si>
    <t xml:space="preserve">FHSA TRACKER</t>
  </si>
  <si>
    <t xml:space="preserve">First Home Savings Account — Annual: $8,000 | Lifetime: $40,000</t>
  </si>
  <si>
    <t xml:space="preserve">  CONTRIBUTION ROOM &amp; LIMITS</t>
  </si>
  <si>
    <t xml:space="preserve">Annual Contribution Limit</t>
  </si>
  <si>
    <t xml:space="preserve">$8,000 per year</t>
  </si>
  <si>
    <t xml:space="preserve">Lifetime Contribution Limit</t>
  </si>
  <si>
    <t xml:space="preserve">$40,000 lifetime maximum</t>
  </si>
  <si>
    <t xml:space="preserve">Enter what you've contributed</t>
  </si>
  <si>
    <t xml:space="preserve">Remaining Annual Room</t>
  </si>
  <si>
    <t xml:space="preserve">Calculated</t>
  </si>
  <si>
    <t xml:space="preserve">Carry-Forward Unused Room (max $8,000)</t>
  </si>
  <si>
    <t xml:space="preserve">Unused prior year room, max $8k</t>
  </si>
  <si>
    <t xml:space="preserve">Total Cumulative Contributions</t>
  </si>
  <si>
    <t xml:space="preserve">All years combined — must not exceed $40,000</t>
  </si>
  <si>
    <t xml:space="preserve">Remaining Lifetime Room</t>
  </si>
  <si>
    <t xml:space="preserve">  HOME PURCHASE GOAL PLANNER</t>
  </si>
  <si>
    <t xml:space="preserve">Field</t>
  </si>
  <si>
    <t xml:space="preserve">Your Input</t>
  </si>
  <si>
    <t xml:space="preserve">Target Home Purchase Year</t>
  </si>
  <si>
    <t xml:space="preserve">e.g. 2028</t>
  </si>
  <si>
    <t xml:space="preserve">Years Until Purchase</t>
  </si>
  <si>
    <t xml:space="preserve">Current FHSA Balance</t>
  </si>
  <si>
    <t xml:space="preserve">Your current balance</t>
  </si>
  <si>
    <t xml:space="preserve">Expected Annual Contribution</t>
  </si>
  <si>
    <t xml:space="preserve">How much you plan to add per year</t>
  </si>
  <si>
    <t xml:space="preserve">Expected Annual Return</t>
  </si>
  <si>
    <t xml:space="preserve">e.g. 0.05 for 5%</t>
  </si>
  <si>
    <t xml:space="preserve">Projected Balance at Purchase</t>
  </si>
  <si>
    <t xml:space="preserve">Estimate — assumes constant return</t>
  </si>
  <si>
    <t xml:space="preserve">Est. Tax Deduction This Year</t>
  </si>
  <si>
    <t xml:space="preserve">Rough estimate at ~33% marginal rate</t>
  </si>
  <si>
    <t xml:space="preserve">📌  FHSA: contributions ARE tax-deductible AND qualifying first-home withdrawals are 100% tax-free. Best of both worlds!</t>
  </si>
  <si>
    <t xml:space="preserve">RRSP TRACKER</t>
  </si>
  <si>
    <t xml:space="preserve">Registered Retirement Savings Plan — 2025 Max: $32,490</t>
  </si>
  <si>
    <t xml:space="preserve">Prior Year Net Earned Income</t>
  </si>
  <si>
    <t xml:space="preserve">From your prior year NOA (Notice of Assessment)</t>
  </si>
  <si>
    <t xml:space="preserve">2025 RRSP Limit (18% of earned income)</t>
  </si>
  <si>
    <t xml:space="preserve">Maximum $32,490 for 2025</t>
  </si>
  <si>
    <t xml:space="preserve">Carry-Forward Room (from prior years)</t>
  </si>
  <si>
    <t xml:space="preserve">From your CRA My Account / NOA</t>
  </si>
  <si>
    <t xml:space="preserve">Total Available RRSP Room</t>
  </si>
  <si>
    <t xml:space="preserve">What you've contributed this year</t>
  </si>
  <si>
    <t xml:space="preserve">Remaining RRSP Room</t>
  </si>
  <si>
    <t xml:space="preserve">Current RRSP Balance</t>
  </si>
  <si>
    <t xml:space="preserve">Your current account balance</t>
  </si>
  <si>
    <t xml:space="preserve">Estimated Tax Refund on Contributions</t>
  </si>
  <si>
    <t xml:space="preserve">Rough ~33% marginal — adjust to your bracket</t>
  </si>
  <si>
    <t xml:space="preserve">  RETIREMENT PROJECTION</t>
  </si>
  <si>
    <t xml:space="preserve">Current Age</t>
  </si>
  <si>
    <t xml:space="preserve">Your age today</t>
  </si>
  <si>
    <t xml:space="preserve">Target Retirement Age</t>
  </si>
  <si>
    <t xml:space="preserve">When you want to retire (RRIF at 71)</t>
  </si>
  <si>
    <t xml:space="preserve">Years to Retirement</t>
  </si>
  <si>
    <t xml:space="preserve">Annual Contribution</t>
  </si>
  <si>
    <t xml:space="preserve">e.g. 0.07 for 7%</t>
  </si>
  <si>
    <t xml:space="preserve">Projected RRSP at Retirement</t>
  </si>
  <si>
    <t xml:space="preserve">Estimate only</t>
  </si>
  <si>
    <t xml:space="preserve">📌  RRSP contributions reduce your taxable income. Deadline is 60 days after December 31. Converts to RRIF at age 71.</t>
  </si>
  <si>
    <t xml:space="preserve">REGISTERED ACCOUNTS SUMMARY</t>
  </si>
  <si>
    <t xml:space="preserve">All accounts at a glance — auto-calculated</t>
  </si>
  <si>
    <t xml:space="preserve">  CONTRIBUTION ROOM SUMMARY</t>
  </si>
  <si>
    <t xml:space="preserve">Account</t>
  </si>
  <si>
    <t xml:space="preserve">Annual Limit</t>
  </si>
  <si>
    <t xml:space="preserve">Available Room</t>
  </si>
  <si>
    <t xml:space="preserve">Used This Year</t>
  </si>
  <si>
    <t xml:space="preserve">Remaining</t>
  </si>
  <si>
    <t xml:space="preserve">💰 TFSA</t>
  </si>
  <si>
    <t xml:space="preserve">$7,000</t>
  </si>
  <si>
    <t xml:space="preserve">🏠 FHSA</t>
  </si>
  <si>
    <t xml:space="preserve">$8,000</t>
  </si>
  <si>
    <t xml:space="preserve">🏦 RRSP</t>
  </si>
  <si>
    <t xml:space="preserve">$32,490</t>
  </si>
  <si>
    <t xml:space="preserve">  KPI CARDS — YOUR MONEY AT A GLANCE</t>
  </si>
  <si>
    <t xml:space="preserve">TFSA Balance</t>
  </si>
  <si>
    <t xml:space="preserve">RRSP Balance</t>
  </si>
  <si>
    <t xml:space="preserve">FHSA Balance</t>
  </si>
  <si>
    <t xml:space="preserve">Total Invested</t>
  </si>
  <si>
    <t xml:space="preserve">CANADIAN REGISTERED ACCOUNTS — QUICK REFERENCE</t>
  </si>
  <si>
    <t xml:space="preserve">2025 Limits &amp; Key Rules for Canadian Residents</t>
  </si>
  <si>
    <t xml:space="preserve">💰 TFSA – Tax-Free Savings Account</t>
  </si>
  <si>
    <t xml:space="preserve">  • 2025 annual limit: $7,000</t>
  </si>
  <si>
    <t xml:space="preserve">  • Contributions not tax-deductible; growth and withdrawals are 100% tax-free.</t>
  </si>
  <si>
    <t xml:space="preserve">  • Withdrawn amounts are re-added to your room the following January 1.</t>
  </si>
  <si>
    <t xml:space="preserve">  • Anyone 18+ who is a Canadian resident can contribute. SIN required.</t>
  </si>
  <si>
    <t xml:space="preserve">  • Total cumulative room since 2009 (if eligible at 18): $95,000 as of 2025.</t>
  </si>
  <si>
    <t xml:space="preserve">🏠 FHSA – First Home Savings Account</t>
  </si>
  <si>
    <t xml:space="preserve">  • Annual limit: $8,000 | Lifetime limit: $40,000</t>
  </si>
  <si>
    <t xml:space="preserve">  • For first-time home buyers only. Must be opened and used within 15 years.</t>
  </si>
  <si>
    <t xml:space="preserve">  • Contributions ARE tax-deductible (like RRSP) AND qualifying withdrawals are tax-free (like TFSA).</t>
  </si>
  <si>
    <t xml:space="preserve">  • Unused annual room carries forward — max $8,000 of carry-forward per year.</t>
  </si>
  <si>
    <t xml:space="preserve">🏦 RRSP – Registered Retirement Savings Plan</t>
  </si>
  <si>
    <t xml:space="preserve">  • 2025 limit: 18% of prior year earned income, max $32,490</t>
  </si>
  <si>
    <t xml:space="preserve">  • Contributions are tax-deductible — reduces your taxable income dollar for dollar.</t>
  </si>
  <si>
    <t xml:space="preserve">  • Withdrawals are taxed as income. Best used if you expect lower income in retirement.</t>
  </si>
  <si>
    <t xml:space="preserve">  • Unused room carries forward indefinitely. Check your NOA from CRA.</t>
  </si>
  <si>
    <t xml:space="preserve">  • Deadline: 60 days after December 31 (March 1, 2026 for 2025 tax year).</t>
  </si>
  <si>
    <t xml:space="preserve">  • Converts to RRIF by end of year you turn 71.</t>
  </si>
  <si>
    <t xml:space="preserve">📚 RESP – Education Savings (Bonus Tip)</t>
  </si>
  <si>
    <t xml:space="preserve">  • No annual limit; lifetime limit $50,000 per beneficiary.</t>
  </si>
  <si>
    <t xml:space="preserve">  • Government adds 20% CESG grant on first $2,500/yr = $500/yr free money.</t>
  </si>
  <si>
    <t xml:space="preserve">  • Growth is tax-sheltered; withdrawals taxed in student's hands (usually low rate).</t>
  </si>
  <si>
    <t xml:space="preserve">⚠️  Limits and rules subject to change. Always verify with CRA My Account at canada.ca/my-cra-account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</si>
</sst>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A623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8C9BAA"/>
      <name val="Calibri"/>
      <family val="0"/>
      <charset val="1"/>
    </font>
    <font>
      <b val="true"/>
      <i val="true"/>
      <sz val="11"/>
      <color rgb="FF0D7377"/>
      <name val="Calibri"/>
      <family val="0"/>
      <charset val="1"/>
    </font>
    <font>
      <i val="true"/>
      <sz val="9"/>
      <color rgb="FF8C9BA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D7377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i val="true"/>
      <sz val="9"/>
      <color rgb="FF1B2A4A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sz val="8"/>
      <color rgb="FF92400E"/>
      <name val="Calibri"/>
      <family val="0"/>
      <charset val="1"/>
    </font>
    <font>
      <b val="true"/>
      <sz val="8"/>
      <color rgb="FF92400E"/>
      <name val="Calibri"/>
      <family val="0"/>
      <charset val="1"/>
    </font>
    <font>
      <sz val="9"/>
      <color rgb="FFFFFFFF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8"/>
      <color rgb="FF8C9BAA"/>
      <name val="Calibri"/>
      <family val="0"/>
      <charset val="1"/>
    </font>
    <font>
      <b val="true"/>
      <sz val="9"/>
      <color rgb="FFF5A623"/>
      <name val="Calibri"/>
      <family val="0"/>
      <charset val="1"/>
    </font>
    <font>
      <i val="true"/>
      <sz val="9"/>
      <color rgb="FF0D7377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4"/>
      <color rgb="FFF5A62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6"/>
        <bgColor rgb="FFF7F9FC"/>
      </patternFill>
    </fill>
    <fill>
      <patternFill patternType="solid">
        <fgColor rgb="FF0D7377"/>
        <bgColor rgb="FF008080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FDE68A"/>
        <bgColor rgb="FFFFCC99"/>
      </patternFill>
    </fill>
    <fill>
      <patternFill patternType="solid">
        <fgColor rgb="FFFEF3C7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 diagonalUp="false" diagonalDown="false">
      <left style="thin">
        <color rgb="FFD0D8E4"/>
      </left>
      <right/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993366"/>
      <rgbColor rgb="FFFEF3C7"/>
      <rgbColor rgb="FFEBF4F6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8C9BAA"/>
      <rgbColor rgb="FF003366"/>
      <rgbColor rgb="FF339966"/>
      <rgbColor rgb="FF003300"/>
      <rgbColor rgb="FF333300"/>
      <rgbColor rgb="FF92400E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20"/>
    <col collapsed="false" customWidth="true" hidden="false" outlineLevel="0" max="6" min="6" style="0" width="2"/>
  </cols>
  <sheetData>
    <row r="1" customFormat="false" ht="36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1</v>
      </c>
      <c r="C2" s="2"/>
      <c r="D2" s="2"/>
      <c r="E2" s="2"/>
    </row>
    <row r="3" customFormat="false" ht="15.75" hidden="false" customHeight="true" outlineLevel="0" collapsed="false">
      <c r="B3" s="3" t="s">
        <v>2</v>
      </c>
      <c r="C3" s="3"/>
      <c r="D3" s="3"/>
      <c r="E3" s="3"/>
    </row>
    <row r="4" customFormat="false" ht="7.5" hidden="false" customHeight="true" outlineLevel="0" collapsed="false"/>
    <row r="5" customFormat="false" ht="27.75" hidden="false" customHeight="true" outlineLevel="0" collapsed="false">
      <c r="B5" s="4" t="s">
        <v>3</v>
      </c>
      <c r="C5" s="4"/>
      <c r="D5" s="4"/>
      <c r="E5" s="4"/>
    </row>
    <row r="6" customFormat="false" ht="9.75" hidden="false" customHeight="true" outlineLevel="0" collapsed="false">
      <c r="B6" s="4"/>
      <c r="C6" s="4"/>
      <c r="D6" s="4"/>
      <c r="E6" s="4"/>
    </row>
    <row r="7" customFormat="false" ht="15.75" hidden="false" customHeight="true" outlineLevel="0" collapsed="false">
      <c r="B7" s="5" t="s">
        <v>4</v>
      </c>
      <c r="C7" s="5"/>
      <c r="D7" s="5"/>
      <c r="E7" s="5"/>
    </row>
    <row r="8" customFormat="false" ht="9.75" hidden="false" customHeight="true" outlineLevel="0" collapsed="false"/>
    <row r="9" customFormat="false" ht="19.5" hidden="false" customHeight="true" outlineLevel="0" collapsed="false">
      <c r="B9" s="6" t="s">
        <v>5</v>
      </c>
      <c r="C9" s="6"/>
      <c r="D9" s="6"/>
      <c r="E9" s="6"/>
    </row>
    <row r="10" customFormat="false" ht="27.75" hidden="false" customHeight="true" outlineLevel="0" collapsed="false">
      <c r="B10" s="7" t="s">
        <v>6</v>
      </c>
      <c r="C10" s="7"/>
      <c r="D10" s="7"/>
      <c r="E10" s="7"/>
    </row>
    <row r="11" customFormat="false" ht="7.5" hidden="false" customHeight="true" outlineLevel="0" collapsed="false"/>
    <row r="12" customFormat="false" ht="19.5" hidden="false" customHeight="true" outlineLevel="0" collapsed="false">
      <c r="B12" s="6" t="s">
        <v>7</v>
      </c>
      <c r="C12" s="6"/>
      <c r="D12" s="6"/>
      <c r="E12" s="6"/>
    </row>
    <row r="13" customFormat="false" ht="15.75" hidden="false" customHeight="true" outlineLevel="0" collapsed="false">
      <c r="B13" s="8" t="s">
        <v>8</v>
      </c>
      <c r="C13" s="8" t="s">
        <v>9</v>
      </c>
      <c r="D13" s="8" t="s">
        <v>10</v>
      </c>
      <c r="E13" s="8" t="s">
        <v>11</v>
      </c>
    </row>
    <row r="14" customFormat="false" ht="19.5" hidden="false" customHeight="true" outlineLevel="0" collapsed="false">
      <c r="B14" s="9" t="s">
        <v>12</v>
      </c>
      <c r="C14" s="10" t="s">
        <v>13</v>
      </c>
      <c r="D14" s="10" t="s">
        <v>14</v>
      </c>
      <c r="E14" s="10" t="s">
        <v>15</v>
      </c>
    </row>
    <row r="15" customFormat="false" ht="19.5" hidden="false" customHeight="true" outlineLevel="0" collapsed="false">
      <c r="B15" s="11" t="s">
        <v>16</v>
      </c>
      <c r="C15" s="12" t="s">
        <v>17</v>
      </c>
      <c r="D15" s="12" t="s">
        <v>18</v>
      </c>
      <c r="E15" s="12" t="s">
        <v>19</v>
      </c>
    </row>
    <row r="16" customFormat="false" ht="19.5" hidden="false" customHeight="true" outlineLevel="0" collapsed="false">
      <c r="B16" s="9" t="s">
        <v>20</v>
      </c>
      <c r="C16" s="10" t="s">
        <v>21</v>
      </c>
      <c r="D16" s="10" t="s">
        <v>22</v>
      </c>
      <c r="E16" s="10" t="s">
        <v>23</v>
      </c>
    </row>
    <row r="17" customFormat="false" ht="19.5" hidden="false" customHeight="true" outlineLevel="0" collapsed="false">
      <c r="B17" s="11" t="s">
        <v>24</v>
      </c>
      <c r="C17" s="12" t="s">
        <v>25</v>
      </c>
      <c r="D17" s="12" t="s">
        <v>26</v>
      </c>
      <c r="E17" s="12" t="s">
        <v>27</v>
      </c>
    </row>
    <row r="18" customFormat="false" ht="19.5" hidden="false" customHeight="true" outlineLevel="0" collapsed="false">
      <c r="B18" s="9" t="s">
        <v>28</v>
      </c>
      <c r="C18" s="10" t="s">
        <v>29</v>
      </c>
      <c r="D18" s="10" t="s">
        <v>30</v>
      </c>
      <c r="E18" s="10" t="s">
        <v>31</v>
      </c>
    </row>
    <row r="19" customFormat="false" ht="19.5" hidden="false" customHeight="true" outlineLevel="0" collapsed="false">
      <c r="B19" s="11" t="s">
        <v>32</v>
      </c>
      <c r="C19" s="12" t="s">
        <v>33</v>
      </c>
      <c r="D19" s="12" t="s">
        <v>34</v>
      </c>
      <c r="E19" s="12" t="s">
        <v>35</v>
      </c>
    </row>
    <row r="20" customFormat="false" ht="7.5" hidden="false" customHeight="true" outlineLevel="0" collapsed="false"/>
    <row r="21" customFormat="false" ht="19.5" hidden="false" customHeight="true" outlineLevel="0" collapsed="false">
      <c r="B21" s="6" t="s">
        <v>36</v>
      </c>
      <c r="C21" s="6"/>
      <c r="D21" s="6"/>
      <c r="E21" s="6"/>
    </row>
    <row r="22" customFormat="false" ht="18" hidden="false" customHeight="true" outlineLevel="0" collapsed="false">
      <c r="B22" s="13" t="s">
        <v>37</v>
      </c>
      <c r="C22" s="14" t="s">
        <v>38</v>
      </c>
      <c r="D22" s="14"/>
      <c r="E22" s="14"/>
    </row>
    <row r="23" customFormat="false" ht="18" hidden="false" customHeight="true" outlineLevel="0" collapsed="false">
      <c r="B23" s="15" t="s">
        <v>39</v>
      </c>
      <c r="C23" s="16" t="s">
        <v>40</v>
      </c>
      <c r="D23" s="16"/>
      <c r="E23" s="16"/>
    </row>
    <row r="24" customFormat="false" ht="18" hidden="false" customHeight="true" outlineLevel="0" collapsed="false">
      <c r="B24" s="13" t="s">
        <v>41</v>
      </c>
      <c r="C24" s="14" t="s">
        <v>42</v>
      </c>
      <c r="D24" s="14"/>
      <c r="E24" s="14"/>
    </row>
    <row r="25" customFormat="false" ht="18" hidden="false" customHeight="true" outlineLevel="0" collapsed="false">
      <c r="B25" s="15" t="s">
        <v>43</v>
      </c>
      <c r="C25" s="16" t="s">
        <v>44</v>
      </c>
      <c r="D25" s="16"/>
      <c r="E25" s="16"/>
    </row>
    <row r="26" customFormat="false" ht="7.5" hidden="false" customHeight="true" outlineLevel="0" collapsed="false"/>
    <row r="27" customFormat="false" ht="19.5" hidden="false" customHeight="true" outlineLevel="0" collapsed="false">
      <c r="B27" s="6" t="s">
        <v>45</v>
      </c>
      <c r="C27" s="6"/>
      <c r="D27" s="6"/>
      <c r="E27" s="6"/>
    </row>
    <row r="28" customFormat="false" ht="21.75" hidden="false" customHeight="true" outlineLevel="0" collapsed="false">
      <c r="B28" s="17" t="s">
        <v>46</v>
      </c>
      <c r="C28" s="17"/>
      <c r="D28" s="17"/>
      <c r="E28" s="17"/>
    </row>
    <row r="29" customFormat="false" ht="21.75" hidden="false" customHeight="true" outlineLevel="0" collapsed="false">
      <c r="B29" s="18" t="s">
        <v>47</v>
      </c>
      <c r="C29" s="18"/>
      <c r="D29" s="18"/>
      <c r="E29" s="18"/>
    </row>
    <row r="30" customFormat="false" ht="21.75" hidden="false" customHeight="true" outlineLevel="0" collapsed="false">
      <c r="B30" s="17" t="s">
        <v>48</v>
      </c>
      <c r="C30" s="17"/>
      <c r="D30" s="17"/>
      <c r="E30" s="17"/>
    </row>
    <row r="31" customFormat="false" ht="21.75" hidden="false" customHeight="true" outlineLevel="0" collapsed="false">
      <c r="B31" s="18" t="s">
        <v>49</v>
      </c>
      <c r="C31" s="18"/>
      <c r="D31" s="18"/>
      <c r="E31" s="18"/>
    </row>
    <row r="32" customFormat="false" ht="7.5" hidden="false" customHeight="true" outlineLevel="0" collapsed="false"/>
    <row r="33" customFormat="false" ht="15.75" hidden="false" customHeight="true" outlineLevel="0" collapsed="false">
      <c r="B33" s="19" t="s">
        <v>50</v>
      </c>
      <c r="C33" s="19"/>
      <c r="D33" s="19"/>
      <c r="E33" s="19"/>
    </row>
    <row r="34" customFormat="false" ht="13.5" hidden="false" customHeight="true" outlineLevel="0" collapsed="false">
      <c r="B34" s="20" t="s">
        <v>51</v>
      </c>
      <c r="C34" s="20"/>
      <c r="D34" s="20"/>
      <c r="E34" s="20"/>
    </row>
    <row r="35" customFormat="false" ht="13.5" hidden="false" customHeight="true" outlineLevel="0" collapsed="false">
      <c r="B35" s="20" t="s">
        <v>52</v>
      </c>
      <c r="C35" s="20"/>
      <c r="D35" s="20"/>
      <c r="E35" s="20"/>
    </row>
    <row r="36" customFormat="false" ht="13.5" hidden="false" customHeight="true" outlineLevel="0" collapsed="false">
      <c r="B36" s="20" t="s">
        <v>53</v>
      </c>
      <c r="C36" s="20"/>
      <c r="D36" s="20"/>
      <c r="E36" s="20"/>
    </row>
    <row r="37" customFormat="false" ht="13.5" hidden="false" customHeight="true" outlineLevel="0" collapsed="false">
      <c r="B37" s="21" t="s">
        <v>54</v>
      </c>
      <c r="C37" s="21"/>
      <c r="D37" s="21"/>
      <c r="E37" s="21"/>
    </row>
  </sheetData>
  <mergeCells count="23">
    <mergeCell ref="B1:E1"/>
    <mergeCell ref="B2:E2"/>
    <mergeCell ref="B3:E3"/>
    <mergeCell ref="B5:E6"/>
    <mergeCell ref="B7:E7"/>
    <mergeCell ref="B9:E9"/>
    <mergeCell ref="B10:E10"/>
    <mergeCell ref="B12:E12"/>
    <mergeCell ref="B21:E21"/>
    <mergeCell ref="C22:E22"/>
    <mergeCell ref="C23:E23"/>
    <mergeCell ref="C24:E24"/>
    <mergeCell ref="C25:E25"/>
    <mergeCell ref="B27:E27"/>
    <mergeCell ref="B28:E28"/>
    <mergeCell ref="B29:E29"/>
    <mergeCell ref="B30:E30"/>
    <mergeCell ref="B31:E31"/>
    <mergeCell ref="B33:E33"/>
    <mergeCell ref="B34:E34"/>
    <mergeCell ref="B35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22" t="s">
        <v>55</v>
      </c>
      <c r="C1" s="22"/>
      <c r="D1" s="22"/>
      <c r="E1" s="22"/>
    </row>
    <row r="2" customFormat="false" ht="15.75" hidden="false" customHeight="true" outlineLevel="0" collapsed="false">
      <c r="B2" s="23" t="s">
        <v>56</v>
      </c>
      <c r="C2" s="23"/>
      <c r="D2" s="23"/>
      <c r="E2" s="23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57</v>
      </c>
      <c r="C4" s="6"/>
      <c r="D4" s="6"/>
      <c r="E4" s="6"/>
    </row>
    <row r="5" customFormat="false" ht="15.75" hidden="false" customHeight="true" outlineLevel="0" collapsed="false">
      <c r="B5" s="8" t="s">
        <v>58</v>
      </c>
      <c r="C5" s="8" t="s">
        <v>59</v>
      </c>
      <c r="D5" s="8" t="s">
        <v>11</v>
      </c>
      <c r="E5" s="8"/>
    </row>
    <row r="6" customFormat="false" ht="18" hidden="false" customHeight="true" outlineLevel="0" collapsed="false">
      <c r="B6" s="24" t="s">
        <v>60</v>
      </c>
      <c r="C6" s="25" t="n">
        <v>0</v>
      </c>
      <c r="D6" s="26" t="s">
        <v>61</v>
      </c>
      <c r="E6" s="27"/>
    </row>
    <row r="7" customFormat="false" ht="18" hidden="false" customHeight="true" outlineLevel="0" collapsed="false">
      <c r="B7" s="28" t="s">
        <v>62</v>
      </c>
      <c r="C7" s="29" t="n">
        <v>0</v>
      </c>
      <c r="D7" s="30" t="s">
        <v>63</v>
      </c>
      <c r="E7" s="31"/>
    </row>
    <row r="8" customFormat="false" ht="18" hidden="false" customHeight="true" outlineLevel="0" collapsed="false">
      <c r="B8" s="13" t="s">
        <v>64</v>
      </c>
      <c r="C8" s="32" t="n">
        <f aca="false">C6+C7</f>
        <v>0</v>
      </c>
      <c r="D8" s="26" t="s">
        <v>65</v>
      </c>
      <c r="E8" s="27"/>
    </row>
    <row r="9" customFormat="false" ht="18" hidden="false" customHeight="true" outlineLevel="0" collapsed="false">
      <c r="B9" s="28" t="s">
        <v>66</v>
      </c>
      <c r="C9" s="29" t="n">
        <v>0</v>
      </c>
      <c r="D9" s="30" t="s">
        <v>67</v>
      </c>
      <c r="E9" s="31"/>
    </row>
    <row r="10" customFormat="false" ht="18" hidden="false" customHeight="true" outlineLevel="0" collapsed="false">
      <c r="B10" s="13" t="s">
        <v>68</v>
      </c>
      <c r="C10" s="32" t="n">
        <f aca="false">C8-C9</f>
        <v>0</v>
      </c>
      <c r="D10" s="26" t="s">
        <v>69</v>
      </c>
      <c r="E10" s="27"/>
    </row>
    <row r="11" customFormat="false" ht="9.75" hidden="false" customHeight="true" outlineLevel="0" collapsed="false"/>
    <row r="12" customFormat="false" ht="19.5" hidden="false" customHeight="true" outlineLevel="0" collapsed="false">
      <c r="B12" s="6" t="s">
        <v>70</v>
      </c>
      <c r="C12" s="6"/>
      <c r="D12" s="6"/>
      <c r="E12" s="6"/>
    </row>
    <row r="13" customFormat="false" ht="15.75" hidden="false" customHeight="true" outlineLevel="0" collapsed="false">
      <c r="B13" s="8" t="s">
        <v>71</v>
      </c>
      <c r="C13" s="8" t="s">
        <v>72</v>
      </c>
      <c r="D13" s="8" t="s">
        <v>73</v>
      </c>
      <c r="E13" s="8" t="s">
        <v>74</v>
      </c>
    </row>
    <row r="14" customFormat="false" ht="18" hidden="false" customHeight="true" outlineLevel="0" collapsed="false">
      <c r="B14" s="24" t="s">
        <v>75</v>
      </c>
      <c r="C14" s="25"/>
      <c r="D14" s="25"/>
      <c r="E14" s="32" t="n">
        <f aca="false">C14-D14</f>
        <v>0</v>
      </c>
    </row>
    <row r="15" customFormat="false" ht="18" hidden="false" customHeight="true" outlineLevel="0" collapsed="false">
      <c r="B15" s="28" t="s">
        <v>76</v>
      </c>
      <c r="C15" s="29"/>
      <c r="D15" s="29"/>
      <c r="E15" s="33" t="n">
        <f aca="false">C15-D15</f>
        <v>0</v>
      </c>
    </row>
    <row r="16" customFormat="false" ht="18" hidden="false" customHeight="true" outlineLevel="0" collapsed="false">
      <c r="B16" s="24" t="s">
        <v>77</v>
      </c>
      <c r="C16" s="25"/>
      <c r="D16" s="25"/>
      <c r="E16" s="32" t="n">
        <f aca="false">C16-D16</f>
        <v>0</v>
      </c>
    </row>
    <row r="17" customFormat="false" ht="18" hidden="false" customHeight="true" outlineLevel="0" collapsed="false">
      <c r="B17" s="28" t="s">
        <v>78</v>
      </c>
      <c r="C17" s="29"/>
      <c r="D17" s="29"/>
      <c r="E17" s="33" t="n">
        <f aca="false">C17-D17</f>
        <v>0</v>
      </c>
    </row>
    <row r="18" customFormat="false" ht="18" hidden="false" customHeight="true" outlineLevel="0" collapsed="false">
      <c r="B18" s="24" t="s">
        <v>79</v>
      </c>
      <c r="C18" s="25"/>
      <c r="D18" s="25"/>
      <c r="E18" s="32" t="n">
        <f aca="false">C18-D18</f>
        <v>0</v>
      </c>
    </row>
    <row r="19" customFormat="false" ht="18" hidden="false" customHeight="true" outlineLevel="0" collapsed="false">
      <c r="B19" s="28" t="s">
        <v>80</v>
      </c>
      <c r="C19" s="29"/>
      <c r="D19" s="29"/>
      <c r="E19" s="33" t="n">
        <f aca="false">C19-D19</f>
        <v>0</v>
      </c>
    </row>
    <row r="20" customFormat="false" ht="19.5" hidden="false" customHeight="true" outlineLevel="0" collapsed="false">
      <c r="B20" s="34" t="s">
        <v>81</v>
      </c>
      <c r="C20" s="35" t="n">
        <f aca="false">SUM(C14:C19)</f>
        <v>0</v>
      </c>
      <c r="D20" s="35" t="n">
        <f aca="false">SUM(D14:D19)</f>
        <v>0</v>
      </c>
      <c r="E20" s="35" t="n">
        <f aca="false">C20-D20</f>
        <v>0</v>
      </c>
    </row>
    <row r="21" customFormat="false" ht="9.75" hidden="false" customHeight="true" outlineLevel="0" collapsed="false"/>
    <row r="22" customFormat="false" ht="21.75" hidden="false" customHeight="true" outlineLevel="0" collapsed="false">
      <c r="B22" s="36" t="s">
        <v>82</v>
      </c>
      <c r="C22" s="36"/>
      <c r="D22" s="36"/>
      <c r="E22" s="36"/>
    </row>
    <row r="23" customFormat="false" ht="21.75" hidden="false" customHeight="true" outlineLevel="0" collapsed="false">
      <c r="B23" s="36" t="s">
        <v>83</v>
      </c>
      <c r="C23" s="36"/>
      <c r="D23" s="36"/>
      <c r="E23" s="36"/>
    </row>
    <row r="24" customFormat="false" ht="9.75" hidden="false" customHeight="true" outlineLevel="0" collapsed="false"/>
    <row r="25" customFormat="false" ht="15.75" hidden="false" customHeight="true" outlineLevel="0" collapsed="false">
      <c r="B25" s="19" t="s">
        <v>50</v>
      </c>
      <c r="C25" s="19"/>
      <c r="D25" s="19"/>
      <c r="E25" s="19"/>
    </row>
    <row r="26" customFormat="false" ht="13.5" hidden="false" customHeight="true" outlineLevel="0" collapsed="false">
      <c r="B26" s="20" t="s">
        <v>51</v>
      </c>
      <c r="C26" s="20"/>
      <c r="D26" s="20"/>
      <c r="E26" s="20"/>
    </row>
    <row r="27" customFormat="false" ht="13.5" hidden="false" customHeight="true" outlineLevel="0" collapsed="false">
      <c r="B27" s="20" t="s">
        <v>52</v>
      </c>
      <c r="C27" s="20"/>
      <c r="D27" s="20"/>
      <c r="E27" s="20"/>
    </row>
    <row r="28" customFormat="false" ht="13.5" hidden="false" customHeight="true" outlineLevel="0" collapsed="false">
      <c r="B28" s="20" t="s">
        <v>53</v>
      </c>
      <c r="C28" s="20"/>
      <c r="D28" s="20"/>
      <c r="E28" s="20"/>
    </row>
    <row r="29" customFormat="false" ht="13.5" hidden="false" customHeight="true" outlineLevel="0" collapsed="false">
      <c r="B29" s="21" t="s">
        <v>54</v>
      </c>
      <c r="C29" s="21"/>
      <c r="D29" s="21"/>
      <c r="E29" s="21"/>
    </row>
  </sheetData>
  <mergeCells count="11">
    <mergeCell ref="B1:E1"/>
    <mergeCell ref="B2:E2"/>
    <mergeCell ref="B4:E4"/>
    <mergeCell ref="B12:E12"/>
    <mergeCell ref="B22:E22"/>
    <mergeCell ref="B23:E23"/>
    <mergeCell ref="B25:E25"/>
    <mergeCell ref="B26:E26"/>
    <mergeCell ref="B27:E27"/>
    <mergeCell ref="B28:E28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22" t="s">
        <v>84</v>
      </c>
      <c r="C1" s="22"/>
      <c r="D1" s="22"/>
      <c r="E1" s="22"/>
    </row>
    <row r="2" customFormat="false" ht="15.75" hidden="false" customHeight="true" outlineLevel="0" collapsed="false">
      <c r="B2" s="23" t="s">
        <v>85</v>
      </c>
      <c r="C2" s="23"/>
      <c r="D2" s="23"/>
      <c r="E2" s="23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86</v>
      </c>
      <c r="C4" s="6"/>
      <c r="D4" s="6"/>
      <c r="E4" s="6"/>
    </row>
    <row r="5" customFormat="false" ht="15.75" hidden="false" customHeight="true" outlineLevel="0" collapsed="false">
      <c r="B5" s="8" t="s">
        <v>58</v>
      </c>
      <c r="C5" s="8" t="s">
        <v>59</v>
      </c>
      <c r="D5" s="8" t="s">
        <v>11</v>
      </c>
      <c r="E5" s="8"/>
    </row>
    <row r="6" customFormat="false" ht="18" hidden="false" customHeight="true" outlineLevel="0" collapsed="false">
      <c r="B6" s="24" t="s">
        <v>87</v>
      </c>
      <c r="C6" s="25" t="n">
        <v>0</v>
      </c>
      <c r="D6" s="26" t="s">
        <v>88</v>
      </c>
      <c r="E6" s="27"/>
    </row>
    <row r="7" customFormat="false" ht="18" hidden="false" customHeight="true" outlineLevel="0" collapsed="false">
      <c r="B7" s="28" t="s">
        <v>89</v>
      </c>
      <c r="C7" s="29" t="n">
        <v>0</v>
      </c>
      <c r="D7" s="30" t="s">
        <v>90</v>
      </c>
      <c r="E7" s="31"/>
    </row>
    <row r="8" customFormat="false" ht="18" hidden="false" customHeight="true" outlineLevel="0" collapsed="false">
      <c r="B8" s="24" t="s">
        <v>66</v>
      </c>
      <c r="C8" s="25" t="n">
        <v>0</v>
      </c>
      <c r="D8" s="26" t="s">
        <v>91</v>
      </c>
      <c r="E8" s="27"/>
    </row>
    <row r="9" customFormat="false" ht="18" hidden="false" customHeight="true" outlineLevel="0" collapsed="false">
      <c r="B9" s="15" t="s">
        <v>92</v>
      </c>
      <c r="C9" s="33" t="n">
        <f aca="false">C6-C8</f>
        <v>0</v>
      </c>
      <c r="D9" s="30" t="s">
        <v>93</v>
      </c>
      <c r="E9" s="31"/>
    </row>
    <row r="10" customFormat="false" ht="18" hidden="false" customHeight="true" outlineLevel="0" collapsed="false">
      <c r="B10" s="13" t="s">
        <v>94</v>
      </c>
      <c r="C10" s="32" t="n">
        <f aca="false">MIN(C6-C8,8000)</f>
        <v>0</v>
      </c>
      <c r="D10" s="26" t="s">
        <v>95</v>
      </c>
      <c r="E10" s="27"/>
    </row>
    <row r="11" customFormat="false" ht="18" hidden="false" customHeight="true" outlineLevel="0" collapsed="false">
      <c r="B11" s="28" t="s">
        <v>96</v>
      </c>
      <c r="C11" s="29" t="n">
        <v>0</v>
      </c>
      <c r="D11" s="30" t="s">
        <v>97</v>
      </c>
      <c r="E11" s="31"/>
    </row>
    <row r="12" customFormat="false" ht="18" hidden="false" customHeight="true" outlineLevel="0" collapsed="false">
      <c r="B12" s="13" t="s">
        <v>98</v>
      </c>
      <c r="C12" s="32" t="n">
        <f aca="false">C7-C11</f>
        <v>0</v>
      </c>
      <c r="D12" s="26" t="s">
        <v>93</v>
      </c>
      <c r="E12" s="27"/>
    </row>
    <row r="14" customFormat="false" ht="9.75" hidden="false" customHeight="true" outlineLevel="0" collapsed="false"/>
    <row r="15" customFormat="false" ht="19.5" hidden="false" customHeight="true" outlineLevel="0" collapsed="false">
      <c r="B15" s="6" t="s">
        <v>99</v>
      </c>
      <c r="C15" s="6"/>
      <c r="D15" s="6"/>
      <c r="E15" s="6"/>
    </row>
    <row r="16" customFormat="false" ht="15.75" hidden="false" customHeight="true" outlineLevel="0" collapsed="false">
      <c r="B16" s="8" t="s">
        <v>100</v>
      </c>
      <c r="C16" s="8" t="s">
        <v>101</v>
      </c>
      <c r="D16" s="8" t="s">
        <v>11</v>
      </c>
      <c r="E16" s="8"/>
    </row>
    <row r="17" customFormat="false" ht="18" hidden="false" customHeight="true" outlineLevel="0" collapsed="false">
      <c r="B17" s="24" t="s">
        <v>102</v>
      </c>
      <c r="C17" s="37" t="n">
        <v>0</v>
      </c>
      <c r="D17" s="26" t="s">
        <v>103</v>
      </c>
      <c r="E17" s="27"/>
    </row>
    <row r="18" customFormat="false" ht="18" hidden="false" customHeight="true" outlineLevel="0" collapsed="false">
      <c r="B18" s="15" t="s">
        <v>104</v>
      </c>
      <c r="C18" s="38" t="n">
        <f aca="true">C17-YEAR(TODAY())</f>
        <v>-2026</v>
      </c>
      <c r="D18" s="30" t="s">
        <v>93</v>
      </c>
      <c r="E18" s="31"/>
    </row>
    <row r="19" customFormat="false" ht="18" hidden="false" customHeight="true" outlineLevel="0" collapsed="false">
      <c r="B19" s="24" t="s">
        <v>105</v>
      </c>
      <c r="C19" s="25" t="n">
        <v>0</v>
      </c>
      <c r="D19" s="26" t="s">
        <v>106</v>
      </c>
      <c r="E19" s="27"/>
    </row>
    <row r="20" customFormat="false" ht="18" hidden="false" customHeight="true" outlineLevel="0" collapsed="false">
      <c r="B20" s="28" t="s">
        <v>107</v>
      </c>
      <c r="C20" s="39" t="n">
        <v>0</v>
      </c>
      <c r="D20" s="30" t="s">
        <v>108</v>
      </c>
      <c r="E20" s="31"/>
    </row>
    <row r="21" customFormat="false" ht="18" hidden="false" customHeight="true" outlineLevel="0" collapsed="false">
      <c r="B21" s="24" t="s">
        <v>109</v>
      </c>
      <c r="C21" s="40" t="n">
        <v>0</v>
      </c>
      <c r="D21" s="26" t="s">
        <v>110</v>
      </c>
      <c r="E21" s="27"/>
    </row>
    <row r="22" customFormat="false" ht="18" hidden="false" customHeight="true" outlineLevel="0" collapsed="false">
      <c r="B22" s="15" t="s">
        <v>111</v>
      </c>
      <c r="C22" s="33" t="n">
        <f aca="false">IFERROR(C19*(1+C21)^C18+C20*((1+C21)^C18-1)/C21,C19+C20*C18)</f>
        <v>0</v>
      </c>
      <c r="D22" s="30" t="s">
        <v>112</v>
      </c>
      <c r="E22" s="31"/>
    </row>
    <row r="23" customFormat="false" ht="18" hidden="false" customHeight="true" outlineLevel="0" collapsed="false">
      <c r="B23" s="13" t="s">
        <v>113</v>
      </c>
      <c r="C23" s="32" t="n">
        <f aca="false">C20*0.33</f>
        <v>0</v>
      </c>
      <c r="D23" s="26" t="s">
        <v>114</v>
      </c>
      <c r="E23" s="27"/>
    </row>
    <row r="25" customFormat="false" ht="9.75" hidden="false" customHeight="true" outlineLevel="0" collapsed="false"/>
    <row r="26" customFormat="false" ht="21.75" hidden="false" customHeight="true" outlineLevel="0" collapsed="false">
      <c r="B26" s="36" t="s">
        <v>115</v>
      </c>
      <c r="C26" s="36"/>
      <c r="D26" s="36"/>
      <c r="E26" s="36"/>
    </row>
    <row r="27" customFormat="false" ht="9.75" hidden="false" customHeight="true" outlineLevel="0" collapsed="false"/>
    <row r="28" customFormat="false" ht="15.75" hidden="false" customHeight="true" outlineLevel="0" collapsed="false">
      <c r="B28" s="19" t="s">
        <v>50</v>
      </c>
      <c r="C28" s="19"/>
      <c r="D28" s="19"/>
      <c r="E28" s="19"/>
    </row>
    <row r="29" customFormat="false" ht="13.5" hidden="false" customHeight="true" outlineLevel="0" collapsed="false">
      <c r="B29" s="20" t="s">
        <v>51</v>
      </c>
      <c r="C29" s="20"/>
      <c r="D29" s="20"/>
      <c r="E29" s="20"/>
    </row>
    <row r="30" customFormat="false" ht="13.5" hidden="false" customHeight="true" outlineLevel="0" collapsed="false">
      <c r="B30" s="20" t="s">
        <v>52</v>
      </c>
      <c r="C30" s="20"/>
      <c r="D30" s="20"/>
      <c r="E30" s="20"/>
    </row>
    <row r="31" customFormat="false" ht="13.5" hidden="false" customHeight="true" outlineLevel="0" collapsed="false">
      <c r="B31" s="20" t="s">
        <v>53</v>
      </c>
      <c r="C31" s="20"/>
      <c r="D31" s="20"/>
      <c r="E31" s="20"/>
    </row>
    <row r="32" customFormat="false" ht="13.5" hidden="false" customHeight="true" outlineLevel="0" collapsed="false">
      <c r="B32" s="21" t="s">
        <v>54</v>
      </c>
      <c r="C32" s="21"/>
      <c r="D32" s="21"/>
      <c r="E32" s="21"/>
    </row>
  </sheetData>
  <mergeCells count="10">
    <mergeCell ref="B1:E1"/>
    <mergeCell ref="B2:E2"/>
    <mergeCell ref="B4:E4"/>
    <mergeCell ref="B15:E15"/>
    <mergeCell ref="B26:E26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22" t="s">
        <v>116</v>
      </c>
      <c r="C1" s="22"/>
      <c r="D1" s="22"/>
      <c r="E1" s="22"/>
    </row>
    <row r="2" customFormat="false" ht="15.75" hidden="false" customHeight="true" outlineLevel="0" collapsed="false">
      <c r="B2" s="23" t="s">
        <v>117</v>
      </c>
      <c r="C2" s="23"/>
      <c r="D2" s="23"/>
      <c r="E2" s="23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57</v>
      </c>
      <c r="C4" s="6"/>
      <c r="D4" s="6"/>
      <c r="E4" s="6"/>
    </row>
    <row r="5" customFormat="false" ht="15.75" hidden="false" customHeight="true" outlineLevel="0" collapsed="false">
      <c r="B5" s="8" t="s">
        <v>58</v>
      </c>
      <c r="C5" s="8" t="s">
        <v>59</v>
      </c>
      <c r="D5" s="8" t="s">
        <v>11</v>
      </c>
      <c r="E5" s="8"/>
    </row>
    <row r="6" customFormat="false" ht="18" hidden="false" customHeight="true" outlineLevel="0" collapsed="false">
      <c r="B6" s="24" t="s">
        <v>118</v>
      </c>
      <c r="C6" s="25" t="n">
        <v>0</v>
      </c>
      <c r="D6" s="26" t="s">
        <v>119</v>
      </c>
      <c r="E6" s="27"/>
    </row>
    <row r="7" customFormat="false" ht="18" hidden="false" customHeight="true" outlineLevel="0" collapsed="false">
      <c r="B7" s="15" t="s">
        <v>120</v>
      </c>
      <c r="C7" s="33" t="n">
        <f aca="false">MIN(C6*0.18,32490)</f>
        <v>0</v>
      </c>
      <c r="D7" s="30" t="s">
        <v>121</v>
      </c>
      <c r="E7" s="31"/>
    </row>
    <row r="8" customFormat="false" ht="18" hidden="false" customHeight="true" outlineLevel="0" collapsed="false">
      <c r="B8" s="24" t="s">
        <v>122</v>
      </c>
      <c r="C8" s="25" t="n">
        <v>0</v>
      </c>
      <c r="D8" s="26" t="s">
        <v>123</v>
      </c>
      <c r="E8" s="27"/>
    </row>
    <row r="9" customFormat="false" ht="18" hidden="false" customHeight="true" outlineLevel="0" collapsed="false">
      <c r="B9" s="15" t="s">
        <v>124</v>
      </c>
      <c r="C9" s="33" t="n">
        <f aca="false">C7+C8</f>
        <v>0</v>
      </c>
      <c r="D9" s="30" t="s">
        <v>93</v>
      </c>
      <c r="E9" s="31"/>
    </row>
    <row r="10" customFormat="false" ht="18" hidden="false" customHeight="true" outlineLevel="0" collapsed="false">
      <c r="B10" s="24" t="s">
        <v>66</v>
      </c>
      <c r="C10" s="25" t="n">
        <v>0</v>
      </c>
      <c r="D10" s="26" t="s">
        <v>125</v>
      </c>
      <c r="E10" s="27"/>
    </row>
    <row r="11" customFormat="false" ht="18" hidden="false" customHeight="true" outlineLevel="0" collapsed="false">
      <c r="B11" s="15" t="s">
        <v>126</v>
      </c>
      <c r="C11" s="33" t="n">
        <f aca="false">C9-C10</f>
        <v>0</v>
      </c>
      <c r="D11" s="30" t="s">
        <v>93</v>
      </c>
      <c r="E11" s="31"/>
    </row>
    <row r="12" customFormat="false" ht="18" hidden="false" customHeight="true" outlineLevel="0" collapsed="false">
      <c r="B12" s="24" t="s">
        <v>127</v>
      </c>
      <c r="C12" s="25" t="n">
        <v>0</v>
      </c>
      <c r="D12" s="26" t="s">
        <v>128</v>
      </c>
      <c r="E12" s="27"/>
    </row>
    <row r="13" customFormat="false" ht="18" hidden="false" customHeight="true" outlineLevel="0" collapsed="false">
      <c r="B13" s="15" t="s">
        <v>129</v>
      </c>
      <c r="C13" s="33" t="n">
        <f aca="false">C10*0.33</f>
        <v>0</v>
      </c>
      <c r="D13" s="30" t="s">
        <v>130</v>
      </c>
      <c r="E13" s="31"/>
    </row>
    <row r="15" customFormat="false" ht="9.75" hidden="false" customHeight="true" outlineLevel="0" collapsed="false"/>
    <row r="16" customFormat="false" ht="19.5" hidden="false" customHeight="true" outlineLevel="0" collapsed="false">
      <c r="B16" s="6" t="s">
        <v>131</v>
      </c>
      <c r="C16" s="6"/>
      <c r="D16" s="6"/>
      <c r="E16" s="6"/>
    </row>
    <row r="17" customFormat="false" ht="15.75" hidden="false" customHeight="true" outlineLevel="0" collapsed="false">
      <c r="B17" s="8" t="s">
        <v>100</v>
      </c>
      <c r="C17" s="8" t="s">
        <v>101</v>
      </c>
      <c r="D17" s="8" t="s">
        <v>11</v>
      </c>
      <c r="E17" s="8"/>
    </row>
    <row r="18" customFormat="false" ht="18" hidden="false" customHeight="true" outlineLevel="0" collapsed="false">
      <c r="B18" s="24" t="s">
        <v>132</v>
      </c>
      <c r="C18" s="37" t="n">
        <v>0</v>
      </c>
      <c r="D18" s="26" t="s">
        <v>133</v>
      </c>
      <c r="E18" s="27"/>
    </row>
    <row r="19" customFormat="false" ht="18" hidden="false" customHeight="true" outlineLevel="0" collapsed="false">
      <c r="B19" s="28" t="s">
        <v>134</v>
      </c>
      <c r="C19" s="39" t="n">
        <v>0</v>
      </c>
      <c r="D19" s="30" t="s">
        <v>135</v>
      </c>
      <c r="E19" s="31"/>
    </row>
    <row r="20" customFormat="false" ht="18" hidden="false" customHeight="true" outlineLevel="0" collapsed="false">
      <c r="B20" s="13" t="s">
        <v>136</v>
      </c>
      <c r="C20" s="41" t="n">
        <f aca="false">C19-C18</f>
        <v>0</v>
      </c>
      <c r="D20" s="26" t="s">
        <v>93</v>
      </c>
      <c r="E20" s="27"/>
    </row>
    <row r="21" customFormat="false" ht="18" hidden="false" customHeight="true" outlineLevel="0" collapsed="false">
      <c r="B21" s="28" t="s">
        <v>137</v>
      </c>
      <c r="C21" s="39" t="n">
        <v>0</v>
      </c>
      <c r="D21" s="30" t="s">
        <v>108</v>
      </c>
      <c r="E21" s="31"/>
    </row>
    <row r="22" customFormat="false" ht="18" hidden="false" customHeight="true" outlineLevel="0" collapsed="false">
      <c r="B22" s="24" t="s">
        <v>109</v>
      </c>
      <c r="C22" s="40" t="n">
        <v>0</v>
      </c>
      <c r="D22" s="26" t="s">
        <v>138</v>
      </c>
      <c r="E22" s="27"/>
    </row>
    <row r="23" customFormat="false" ht="18" hidden="false" customHeight="true" outlineLevel="0" collapsed="false">
      <c r="B23" s="15" t="s">
        <v>139</v>
      </c>
      <c r="C23" s="33" t="n">
        <f aca="false">IFERROR(C13*(1+C22)^C20+C21*((1+C22)^C20-1)/C22,C13+C21*C20)</f>
        <v>0</v>
      </c>
      <c r="D23" s="30" t="s">
        <v>140</v>
      </c>
      <c r="E23" s="31"/>
    </row>
    <row r="25" customFormat="false" ht="9.75" hidden="false" customHeight="true" outlineLevel="0" collapsed="false"/>
    <row r="26" customFormat="false" ht="21.75" hidden="false" customHeight="true" outlineLevel="0" collapsed="false">
      <c r="B26" s="36" t="s">
        <v>141</v>
      </c>
      <c r="C26" s="36"/>
      <c r="D26" s="36"/>
      <c r="E26" s="36"/>
    </row>
    <row r="27" customFormat="false" ht="9.75" hidden="false" customHeight="true" outlineLevel="0" collapsed="false"/>
    <row r="28" customFormat="false" ht="15.75" hidden="false" customHeight="true" outlineLevel="0" collapsed="false">
      <c r="B28" s="19" t="s">
        <v>50</v>
      </c>
      <c r="C28" s="19"/>
      <c r="D28" s="19"/>
      <c r="E28" s="19"/>
    </row>
    <row r="29" customFormat="false" ht="13.5" hidden="false" customHeight="true" outlineLevel="0" collapsed="false">
      <c r="B29" s="20" t="s">
        <v>51</v>
      </c>
      <c r="C29" s="20"/>
      <c r="D29" s="20"/>
      <c r="E29" s="20"/>
    </row>
    <row r="30" customFormat="false" ht="13.5" hidden="false" customHeight="true" outlineLevel="0" collapsed="false">
      <c r="B30" s="20" t="s">
        <v>52</v>
      </c>
      <c r="C30" s="20"/>
      <c r="D30" s="20"/>
      <c r="E30" s="20"/>
    </row>
    <row r="31" customFormat="false" ht="13.5" hidden="false" customHeight="true" outlineLevel="0" collapsed="false">
      <c r="B31" s="20" t="s">
        <v>53</v>
      </c>
      <c r="C31" s="20"/>
      <c r="D31" s="20"/>
      <c r="E31" s="20"/>
    </row>
    <row r="32" customFormat="false" ht="13.5" hidden="false" customHeight="true" outlineLevel="0" collapsed="false">
      <c r="B32" s="21" t="s">
        <v>54</v>
      </c>
      <c r="C32" s="21"/>
      <c r="D32" s="21"/>
      <c r="E32" s="21"/>
    </row>
  </sheetData>
  <mergeCells count="10">
    <mergeCell ref="B1:E1"/>
    <mergeCell ref="B2:E2"/>
    <mergeCell ref="B4:E4"/>
    <mergeCell ref="B16:E16"/>
    <mergeCell ref="B26:E26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22" t="s">
        <v>142</v>
      </c>
      <c r="C1" s="22"/>
      <c r="D1" s="22"/>
      <c r="E1" s="22"/>
    </row>
    <row r="2" customFormat="false" ht="15.75" hidden="false" customHeight="true" outlineLevel="0" collapsed="false">
      <c r="B2" s="23" t="s">
        <v>143</v>
      </c>
      <c r="C2" s="23"/>
      <c r="D2" s="23"/>
      <c r="E2" s="23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144</v>
      </c>
      <c r="C4" s="6"/>
      <c r="D4" s="6"/>
      <c r="E4" s="6"/>
      <c r="F4" s="6"/>
    </row>
    <row r="5" customFormat="false" ht="15.75" hidden="false" customHeight="true" outlineLevel="0" collapsed="false">
      <c r="B5" s="8" t="s">
        <v>145</v>
      </c>
      <c r="C5" s="8" t="s">
        <v>146</v>
      </c>
      <c r="D5" s="8" t="s">
        <v>147</v>
      </c>
      <c r="E5" s="8" t="s">
        <v>148</v>
      </c>
      <c r="F5" s="8" t="s">
        <v>149</v>
      </c>
    </row>
    <row r="6" customFormat="false" ht="18" hidden="false" customHeight="true" outlineLevel="0" collapsed="false">
      <c r="B6" s="13" t="s">
        <v>150</v>
      </c>
      <c r="C6" s="42" t="s">
        <v>151</v>
      </c>
      <c r="D6" s="32" t="n">
        <f aca="false">'💰 TFSA Tracker'!C8</f>
        <v>0</v>
      </c>
      <c r="E6" s="32" t="n">
        <f aca="false">'💰 TFSA Tracker'!C9</f>
        <v>0</v>
      </c>
      <c r="F6" s="32" t="n">
        <f aca="false">'💰 TFSA Tracker'!C10</f>
        <v>0</v>
      </c>
    </row>
    <row r="7" customFormat="false" ht="18" hidden="false" customHeight="true" outlineLevel="0" collapsed="false">
      <c r="B7" s="15" t="s">
        <v>152</v>
      </c>
      <c r="C7" s="43" t="s">
        <v>153</v>
      </c>
      <c r="D7" s="33" t="n">
        <f aca="false">'🏠 FHSA Tracker'!C9</f>
        <v>0</v>
      </c>
      <c r="E7" s="33" t="n">
        <f aca="false">'🏠 FHSA Tracker'!C8</f>
        <v>0</v>
      </c>
      <c r="F7" s="33" t="n">
        <f aca="false">'🏠 FHSA Tracker'!C9</f>
        <v>0</v>
      </c>
    </row>
    <row r="8" customFormat="false" ht="18" hidden="false" customHeight="true" outlineLevel="0" collapsed="false">
      <c r="B8" s="13" t="s">
        <v>154</v>
      </c>
      <c r="C8" s="42" t="s">
        <v>155</v>
      </c>
      <c r="D8" s="32" t="n">
        <f aca="false">'🏦 RRSP Tracker'!C9</f>
        <v>0</v>
      </c>
      <c r="E8" s="32" t="n">
        <f aca="false">'🏦 RRSP Tracker'!C10</f>
        <v>0</v>
      </c>
      <c r="F8" s="32" t="n">
        <f aca="false">'🏦 RRSP Tracker'!C11</f>
        <v>0</v>
      </c>
    </row>
    <row r="9" customFormat="false" ht="9.75" hidden="false" customHeight="true" outlineLevel="0" collapsed="false"/>
    <row r="10" customFormat="false" ht="19.5" hidden="false" customHeight="true" outlineLevel="0" collapsed="false">
      <c r="B10" s="6" t="s">
        <v>156</v>
      </c>
      <c r="C10" s="6"/>
      <c r="D10" s="6"/>
      <c r="E10" s="6"/>
      <c r="F10" s="6"/>
    </row>
    <row r="11" customFormat="false" ht="15.75" hidden="false" customHeight="true" outlineLevel="0" collapsed="false">
      <c r="C11" s="44" t="s">
        <v>157</v>
      </c>
      <c r="D11" s="8" t="s">
        <v>158</v>
      </c>
      <c r="E11" s="44" t="s">
        <v>159</v>
      </c>
      <c r="F11" s="8" t="s">
        <v>160</v>
      </c>
    </row>
    <row r="12" customFormat="false" ht="27.75" hidden="false" customHeight="true" outlineLevel="0" collapsed="false">
      <c r="C12" s="45" t="n">
        <f aca="false">'💰 TFSA Tracker'!C20</f>
        <v>0</v>
      </c>
      <c r="D12" s="46" t="n">
        <f aca="false">'🏦 RRSP Tracker'!C13</f>
        <v>0</v>
      </c>
      <c r="E12" s="45" t="n">
        <f aca="false">'🏠 FHSA Tracker'!C19</f>
        <v>0</v>
      </c>
      <c r="F12" s="46" t="n">
        <f aca="false">'💰 TFSA Tracker'!C20+'🏦 RRSP Tracker'!C13+'🏠 FHSA Tracker'!C19</f>
        <v>0</v>
      </c>
    </row>
    <row r="13" customFormat="false" ht="9.75" hidden="false" customHeight="true" outlineLevel="0" collapsed="false"/>
    <row r="14" customFormat="false" ht="15.75" hidden="false" customHeight="true" outlineLevel="0" collapsed="false">
      <c r="B14" s="19" t="s">
        <v>50</v>
      </c>
      <c r="C14" s="19"/>
      <c r="D14" s="19"/>
      <c r="E14" s="19"/>
      <c r="F14" s="19"/>
    </row>
    <row r="15" customFormat="false" ht="13.5" hidden="false" customHeight="true" outlineLevel="0" collapsed="false">
      <c r="B15" s="20" t="s">
        <v>51</v>
      </c>
      <c r="C15" s="20"/>
      <c r="D15" s="20"/>
      <c r="E15" s="20"/>
      <c r="F15" s="20"/>
    </row>
    <row r="16" customFormat="false" ht="13.5" hidden="false" customHeight="true" outlineLevel="0" collapsed="false">
      <c r="B16" s="20" t="s">
        <v>52</v>
      </c>
      <c r="C16" s="20"/>
      <c r="D16" s="20"/>
      <c r="E16" s="20"/>
      <c r="F16" s="20"/>
    </row>
    <row r="17" customFormat="false" ht="13.5" hidden="false" customHeight="true" outlineLevel="0" collapsed="false">
      <c r="B17" s="20" t="s">
        <v>53</v>
      </c>
      <c r="C17" s="20"/>
      <c r="D17" s="20"/>
      <c r="E17" s="20"/>
      <c r="F17" s="20"/>
    </row>
    <row r="18" customFormat="false" ht="13.5" hidden="false" customHeight="true" outlineLevel="0" collapsed="false">
      <c r="B18" s="21" t="s">
        <v>54</v>
      </c>
      <c r="C18" s="21"/>
      <c r="D18" s="21"/>
      <c r="E18" s="21"/>
      <c r="F18" s="21"/>
    </row>
  </sheetData>
  <mergeCells count="9">
    <mergeCell ref="B1:E1"/>
    <mergeCell ref="B2:E2"/>
    <mergeCell ref="B4:F4"/>
    <mergeCell ref="B10:F10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2"/>
  </cols>
  <sheetData>
    <row r="1" customFormat="false" ht="31.5" hidden="false" customHeight="true" outlineLevel="0" collapsed="false">
      <c r="B1" s="22" t="s">
        <v>161</v>
      </c>
      <c r="C1" s="22"/>
      <c r="D1" s="22"/>
      <c r="E1" s="22"/>
    </row>
    <row r="2" customFormat="false" ht="15.75" hidden="false" customHeight="true" outlineLevel="0" collapsed="false">
      <c r="B2" s="23" t="s">
        <v>162</v>
      </c>
      <c r="C2" s="23"/>
      <c r="D2" s="23"/>
      <c r="E2" s="23"/>
    </row>
    <row r="3" customFormat="false" ht="7.5" hidden="false" customHeight="true" outlineLevel="0" collapsed="false"/>
    <row r="4" customFormat="false" ht="21.75" hidden="false" customHeight="true" outlineLevel="0" collapsed="false">
      <c r="B4" s="47" t="s">
        <v>163</v>
      </c>
    </row>
    <row r="5" customFormat="false" ht="18" hidden="false" customHeight="true" outlineLevel="0" collapsed="false">
      <c r="B5" s="48" t="s">
        <v>164</v>
      </c>
    </row>
    <row r="6" customFormat="false" ht="18" hidden="false" customHeight="true" outlineLevel="0" collapsed="false">
      <c r="B6" s="49" t="s">
        <v>165</v>
      </c>
    </row>
    <row r="7" customFormat="false" ht="18" hidden="false" customHeight="true" outlineLevel="0" collapsed="false">
      <c r="B7" s="48" t="s">
        <v>166</v>
      </c>
    </row>
    <row r="8" customFormat="false" ht="18" hidden="false" customHeight="true" outlineLevel="0" collapsed="false">
      <c r="B8" s="49" t="s">
        <v>167</v>
      </c>
    </row>
    <row r="9" customFormat="false" ht="18" hidden="false" customHeight="true" outlineLevel="0" collapsed="false">
      <c r="B9" s="48" t="s">
        <v>168</v>
      </c>
    </row>
    <row r="12" customFormat="false" ht="21.75" hidden="false" customHeight="true" outlineLevel="0" collapsed="false">
      <c r="B12" s="47" t="s">
        <v>169</v>
      </c>
    </row>
    <row r="13" customFormat="false" ht="18" hidden="false" customHeight="true" outlineLevel="0" collapsed="false">
      <c r="B13" s="48" t="s">
        <v>170</v>
      </c>
    </row>
    <row r="14" customFormat="false" ht="18" hidden="false" customHeight="true" outlineLevel="0" collapsed="false">
      <c r="B14" s="49" t="s">
        <v>171</v>
      </c>
    </row>
    <row r="15" customFormat="false" ht="18" hidden="false" customHeight="true" outlineLevel="0" collapsed="false">
      <c r="B15" s="48" t="s">
        <v>172</v>
      </c>
    </row>
    <row r="16" customFormat="false" ht="18" hidden="false" customHeight="true" outlineLevel="0" collapsed="false">
      <c r="B16" s="49" t="s">
        <v>173</v>
      </c>
    </row>
    <row r="19" customFormat="false" ht="21.75" hidden="false" customHeight="true" outlineLevel="0" collapsed="false">
      <c r="B19" s="50" t="s">
        <v>174</v>
      </c>
    </row>
    <row r="20" customFormat="false" ht="18" hidden="false" customHeight="true" outlineLevel="0" collapsed="false">
      <c r="B20" s="48" t="s">
        <v>175</v>
      </c>
    </row>
    <row r="21" customFormat="false" ht="18" hidden="false" customHeight="true" outlineLevel="0" collapsed="false">
      <c r="B21" s="49" t="s">
        <v>176</v>
      </c>
    </row>
    <row r="22" customFormat="false" ht="18" hidden="false" customHeight="true" outlineLevel="0" collapsed="false">
      <c r="B22" s="48" t="s">
        <v>177</v>
      </c>
    </row>
    <row r="23" customFormat="false" ht="18" hidden="false" customHeight="true" outlineLevel="0" collapsed="false">
      <c r="B23" s="49" t="s">
        <v>178</v>
      </c>
    </row>
    <row r="24" customFormat="false" ht="18" hidden="false" customHeight="true" outlineLevel="0" collapsed="false">
      <c r="B24" s="48" t="s">
        <v>179</v>
      </c>
    </row>
    <row r="25" customFormat="false" ht="18" hidden="false" customHeight="true" outlineLevel="0" collapsed="false">
      <c r="B25" s="49" t="s">
        <v>180</v>
      </c>
    </row>
    <row r="28" customFormat="false" ht="21.75" hidden="false" customHeight="true" outlineLevel="0" collapsed="false">
      <c r="B28" s="50" t="s">
        <v>181</v>
      </c>
    </row>
    <row r="29" customFormat="false" ht="18" hidden="false" customHeight="true" outlineLevel="0" collapsed="false">
      <c r="B29" s="48" t="s">
        <v>182</v>
      </c>
    </row>
    <row r="30" customFormat="false" ht="18" hidden="false" customHeight="true" outlineLevel="0" collapsed="false">
      <c r="B30" s="49" t="s">
        <v>183</v>
      </c>
    </row>
    <row r="31" customFormat="false" ht="18" hidden="false" customHeight="true" outlineLevel="0" collapsed="false">
      <c r="B31" s="48" t="s">
        <v>184</v>
      </c>
    </row>
    <row r="33" customFormat="false" ht="18" hidden="false" customHeight="true" outlineLevel="0" collapsed="false">
      <c r="B33" s="51" t="s">
        <v>185</v>
      </c>
    </row>
    <row r="35" customFormat="false" ht="15.75" hidden="false" customHeight="true" outlineLevel="0" collapsed="false">
      <c r="B35" s="52" t="s">
        <v>50</v>
      </c>
    </row>
    <row r="36" customFormat="false" ht="13.5" hidden="false" customHeight="true" outlineLevel="0" collapsed="false">
      <c r="B36" s="53" t="s">
        <v>51</v>
      </c>
    </row>
    <row r="37" customFormat="false" ht="13.5" hidden="false" customHeight="true" outlineLevel="0" collapsed="false">
      <c r="B37" s="53" t="s">
        <v>52</v>
      </c>
    </row>
    <row r="38" customFormat="false" ht="13.5" hidden="false" customHeight="true" outlineLevel="0" collapsed="false">
      <c r="B38" s="53" t="s">
        <v>53</v>
      </c>
    </row>
    <row r="39" customFormat="false" ht="13.5" hidden="false" customHeight="true" outlineLevel="0" collapsed="false">
      <c r="B39" s="54" t="s">
        <v>54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2026-03-14T23:26:13Z</dcterms:created>
  <dc:creator>openpyxl</dc:creator>
  <dc:description/>
  <dc:language>en-US</dc:language>
  <cp:lastModifiedBy/>
  <dcterms:modified xsi:type="dcterms:W3CDTF">2026-03-14T23:26:13Z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