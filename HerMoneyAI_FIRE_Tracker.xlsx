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Instructions" sheetId="1" state="visible" r:id="rId3"/>
    <sheet name="🔢 Your FIRE Number" sheetId="2" state="visible" r:id="rId4"/>
    <sheet name="📈 Progress Tracker" sheetId="3" state="visible" r:id="rId5"/>
    <sheet name="📅 Timeline" sheetId="4" state="visible" r:id="rId6"/>
    <sheet name="🍁 Canada Tip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<sst xmlns="http://schemas.openxmlformats.org/spreadsheetml/2006/main" count="170" uniqueCount="144">
  <si>
    <t xml:space="preserve">FIRE TRACKER</t>
  </si>
  <si>
    <t xml:space="preserve">Track • Plan • Grow Your Wealth with AI-Powered Insights</t>
  </si>
  <si>
    <t xml:space="preserve">Her Money &amp; AI  |  AI-Powered Finance Education  |  hermoneyandai.ca</t>
  </si>
  <si>
    <t xml:space="preserve">"You educate a man; you educate a man. You educate a woman; you educate a generation."</t>
  </si>
  <si>
    <t xml:space="preserve">— Her Money &amp; AI Mission</t>
  </si>
  <si>
    <t xml:space="preserve">  ABOUT THIS TEMPLATE</t>
  </si>
  <si>
    <t xml:space="preserve">Calculate your Financial Independence, Retire Early (FIRE) number, track your progress, and see exactly how many years until you reach financial freedom. Enter your numbers and watch your FIRE date appear.</t>
  </si>
  <si>
    <t xml:space="preserve">  WHAT'S IN THIS FILE</t>
  </si>
  <si>
    <t xml:space="preserve">Sheet Name</t>
  </si>
  <si>
    <t xml:space="preserve">Purpose</t>
  </si>
  <si>
    <t xml:space="preserve">How to Use</t>
  </si>
  <si>
    <t xml:space="preserve">Notes</t>
  </si>
  <si>
    <t xml:space="preserve">📋 Instructions</t>
  </si>
  <si>
    <t xml:space="preserve">Welcome &amp; how-to</t>
  </si>
  <si>
    <t xml:space="preserve">Read first</t>
  </si>
  <si>
    <t xml:space="preserve">You are here</t>
  </si>
  <si>
    <t xml:space="preserve">🔢 Your FIRE Number</t>
  </si>
  <si>
    <t xml:space="preserve">Calculate FI target</t>
  </si>
  <si>
    <t xml:space="preserve">Enter expenses &amp; SWR</t>
  </si>
  <si>
    <t xml:space="preserve">25x rule + more</t>
  </si>
  <si>
    <t xml:space="preserve">📈 Progress Tracker</t>
  </si>
  <si>
    <t xml:space="preserve">Track progress to FI</t>
  </si>
  <si>
    <t xml:space="preserve">Enter net worth &amp; savings</t>
  </si>
  <si>
    <t xml:space="preserve">Auto-calculates</t>
  </si>
  <si>
    <t xml:space="preserve">📅 Timeline</t>
  </si>
  <si>
    <t xml:space="preserve">Year-by-year projection</t>
  </si>
  <si>
    <t xml:space="preserve">Auto-fills from inputs</t>
  </si>
  <si>
    <t xml:space="preserve">Read-only</t>
  </si>
  <si>
    <t xml:space="preserve">🍁 Canada Tips</t>
  </si>
  <si>
    <t xml:space="preserve">Canadian FIRE strategy</t>
  </si>
  <si>
    <t xml:space="preserve">Reference guide</t>
  </si>
  <si>
    <t xml:space="preserve">Tax tips included</t>
  </si>
  <si>
    <t xml:space="preserve">  COLOUR CODING GUIDE</t>
  </si>
  <si>
    <t xml:space="preserve">🔵 Blue text</t>
  </si>
  <si>
    <t xml:space="preserve">Input cells — these are for YOU to fill in</t>
  </si>
  <si>
    <t xml:space="preserve">⚫ Dark text</t>
  </si>
  <si>
    <t xml:space="preserve">Calculated formulas — do not edit these</t>
  </si>
  <si>
    <t xml:space="preserve">🟡 Gold/Yellow background</t>
  </si>
  <si>
    <t xml:space="preserve">EDUCATIONAL USE DISCLAIMER section</t>
  </si>
  <si>
    <t xml:space="preserve">🟢 Green/Teal header</t>
  </si>
  <si>
    <t xml:space="preserve">Section groupings for easy navigation</t>
  </si>
  <si>
    <t xml:space="preserve">  💡 AI TIPS — USE THESE PROMPTS WITH CHATGPT OR CLAUDE</t>
  </si>
  <si>
    <t xml:space="preserve">"I am [age], earn $[X]/year, spend $[Y]/year in Canada. What is my FIRE number and realistic timeline?"</t>
  </si>
  <si>
    <t xml:space="preserve">"What are the differences between Lean FIRE, Regular FIRE, and Fat FIRE for a family of [X] in [city], Canada?"</t>
  </si>
  <si>
    <t xml:space="preserve">"What Canadian tax strategies should I know to reach financial independence faster?"</t>
  </si>
  <si>
    <t xml:space="preserve">"I want to retire at [age] in Canada. How much do I need in my TFSA vs RRSP vs non-registered accounts?"</t>
  </si>
  <si>
    <t xml:space="preserve">EDUCATIONAL USE DISCLAIMER</t>
  </si>
  <si>
    <t xml:space="preserve">⚠️  DISCLAIMER: This template is for educational and informational purposes only.</t>
  </si>
  <si>
    <t xml:space="preserve">It does not constitute personalized financial, investment, tax, or legal advice.</t>
  </si>
  <si>
    <t xml:space="preserve">Consult a registered financial advisor for advice specific to your situation.</t>
  </si>
  <si>
    <t xml:space="preserve">© Her Money &amp; AI  |  AI-Powered Finance Education  |  hermoneyandai.ca</t>
  </si>
  <si>
    <t xml:space="preserve">YOUR FIRE NUMBER</t>
  </si>
  <si>
    <t xml:space="preserve">How much do you need to be financially free?</t>
  </si>
  <si>
    <t xml:space="preserve">  STEP 1 — YOUR EXPENSES</t>
  </si>
  <si>
    <t xml:space="preserve">Description</t>
  </si>
  <si>
    <t xml:space="preserve">Amount</t>
  </si>
  <si>
    <t xml:space="preserve">Current Annual Expenses</t>
  </si>
  <si>
    <t xml:space="preserve">All living expenses — honest total</t>
  </si>
  <si>
    <t xml:space="preserve">Expected Retirement Annual Expenses</t>
  </si>
  <si>
    <t xml:space="preserve">Often 70-80% of current; enter your estimate</t>
  </si>
  <si>
    <t xml:space="preserve">Inflation Adjustment (annual %)</t>
  </si>
  <si>
    <t xml:space="preserve">e.g. 0.02 for 2%</t>
  </si>
  <si>
    <t xml:space="preserve">Kids / Dependents Additional Cost</t>
  </si>
  <si>
    <t xml:space="preserve">Extra annual costs for family</t>
  </si>
  <si>
    <t xml:space="preserve">Total Retirement Annual Need</t>
  </si>
  <si>
    <t xml:space="preserve">Calculated</t>
  </si>
  <si>
    <t xml:space="preserve">  STEP 2 — YOUR FIRE NUMBER (CHOOSE YOUR STYLE)</t>
  </si>
  <si>
    <t xml:space="preserve">FIRE Style</t>
  </si>
  <si>
    <t xml:space="preserve">Your Number</t>
  </si>
  <si>
    <t xml:space="preserve">Multiplier</t>
  </si>
  <si>
    <t xml:space="preserve">What it means</t>
  </si>
  <si>
    <t xml:space="preserve">🌿 Lean FIRE</t>
  </si>
  <si>
    <t xml:space="preserve">20x</t>
  </si>
  <si>
    <t xml:space="preserve">Frugal lifestyle — bare essentials covered</t>
  </si>
  <si>
    <t xml:space="preserve">🔥 Regular FIRE</t>
  </si>
  <si>
    <t xml:space="preserve">25x</t>
  </si>
  <si>
    <t xml:space="preserve">Standard 4% rule — most common target</t>
  </si>
  <si>
    <t xml:space="preserve">💎 Fat FIRE</t>
  </si>
  <si>
    <t xml:space="preserve">30x</t>
  </si>
  <si>
    <t xml:space="preserve">Comfortable lifestyle — travel, extras</t>
  </si>
  <si>
    <t xml:space="preserve">🍁 Conservative FIRE</t>
  </si>
  <si>
    <t xml:space="preserve">33x</t>
  </si>
  <si>
    <t xml:space="preserve">3% SWR — extra buffer for Canadian longevity</t>
  </si>
  <si>
    <t xml:space="preserve">  STEP 3 — YOUR PERSONAL TARGET</t>
  </si>
  <si>
    <t xml:space="preserve">Your Amount</t>
  </si>
  <si>
    <t xml:space="preserve">My Chosen FIRE Target</t>
  </si>
  <si>
    <t xml:space="preserve">Copy from above — or enter your own</t>
  </si>
  <si>
    <t xml:space="preserve">Safe Withdrawal Rate (SWR)</t>
  </si>
  <si>
    <t xml:space="preserve">e.g. 0.04 for 4% — common starting point</t>
  </si>
  <si>
    <t xml:space="preserve">Annual Withdrawal Allowed</t>
  </si>
  <si>
    <t xml:space="preserve">Calculated — your retirement income</t>
  </si>
  <si>
    <t xml:space="preserve">FIRE PROGRESS TRACKER</t>
  </si>
  <si>
    <t xml:space="preserve">How close are you to financial independence?</t>
  </si>
  <si>
    <t xml:space="preserve">  YOUR CURRENT POSITION</t>
  </si>
  <si>
    <t xml:space="preserve">Field</t>
  </si>
  <si>
    <t xml:space="preserve">Your Input</t>
  </si>
  <si>
    <t xml:space="preserve">Current Age</t>
  </si>
  <si>
    <t xml:space="preserve">Target FIRE Age</t>
  </si>
  <si>
    <t xml:space="preserve">When you want to be financially free</t>
  </si>
  <si>
    <t xml:space="preserve">Years Remaining to FIRE</t>
  </si>
  <si>
    <t xml:space="preserve">My Chosen FIRE Target ($)</t>
  </si>
  <si>
    <t xml:space="preserve">Enter from FIRE Number sheet</t>
  </si>
  <si>
    <t xml:space="preserve">Current Invested Assets (Total)</t>
  </si>
  <si>
    <t xml:space="preserve">TFSA + RRSP + FHSA + non-reg + other</t>
  </si>
  <si>
    <t xml:space="preserve">FIRE Progress</t>
  </si>
  <si>
    <t xml:space="preserve">Calculated — % of target reached</t>
  </si>
  <si>
    <t xml:space="preserve">Monthly Savings / Investing</t>
  </si>
  <si>
    <t xml:space="preserve">Annual Savings Amount</t>
  </si>
  <si>
    <t xml:space="preserve">Expected Annual Return</t>
  </si>
  <si>
    <t xml:space="preserve">e.g. 0.07 for 7%</t>
  </si>
  <si>
    <t xml:space="preserve">Projected FIRE Date</t>
  </si>
  <si>
    <t xml:space="preserve">Estimate — assumes steady contributions &amp; return</t>
  </si>
  <si>
    <t xml:space="preserve">  FIRE PROGRESS DASHBOARD</t>
  </si>
  <si>
    <t xml:space="preserve">FIRE Target</t>
  </si>
  <si>
    <t xml:space="preserve">Current Assets</t>
  </si>
  <si>
    <t xml:space="preserve">Progress</t>
  </si>
  <si>
    <t xml:space="preserve">Years Left</t>
  </si>
  <si>
    <t xml:space="preserve">FIRE PROJECTION TIMELINE</t>
  </si>
  <si>
    <t xml:space="preserve">Year-by-year portfolio growth — auto-calculated from Progress Tracker</t>
  </si>
  <si>
    <t xml:space="preserve">  YEAR-BY-YEAR PROJECTION (20 YEARS)</t>
  </si>
  <si>
    <t xml:space="preserve">Year</t>
  </si>
  <si>
    <t xml:space="preserve">Age</t>
  </si>
  <si>
    <t xml:space="preserve">Portfolio Start</t>
  </si>
  <si>
    <t xml:space="preserve">Annual Savings</t>
  </si>
  <si>
    <t xml:space="preserve">Return Earned</t>
  </si>
  <si>
    <t xml:space="preserve">Portfolio End</t>
  </si>
  <si>
    <t xml:space="preserve">CANADIAN FIRE STRATEGY GUIDE</t>
  </si>
  <si>
    <t xml:space="preserve">Tax-efficient paths to financial independence in Canada</t>
  </si>
  <si>
    <t xml:space="preserve">🍁 FIRE ACCOUNT ORDER FOR CANADIANS</t>
  </si>
  <si>
    <t xml:space="preserve">  • Step 1: Emergency fund (3-6 months expenses) in HISA</t>
  </si>
  <si>
    <t xml:space="preserve">  • Step 2: FHSA if buying a home — tax deduction + tax-free growth</t>
  </si>
  <si>
    <t xml:space="preserve">  • Step 3: RRSP if your marginal tax rate today &gt; expected rate in retirement</t>
  </si>
  <si>
    <t xml:space="preserve">  • Step 4: TFSA — tax-free growth and withdrawals, maximum flexibility</t>
  </si>
  <si>
    <t xml:space="preserve">  • Step 5: Non-registered investing once registered accounts are maxed</t>
  </si>
  <si>
    <t xml:space="preserve">💡 LEAN, REGULAR &amp; FAT FIRE IN CANADA</t>
  </si>
  <si>
    <t xml:space="preserve">  • Lean FIRE: 20x annual expenses. Frugal lifestyle. Possible in lower cost-of-living cities.</t>
  </si>
  <si>
    <t xml:space="preserve">  • Regular FIRE: 25x annual expenses (4% SWR). Most popular — works in most Canadian cities.</t>
  </si>
  <si>
    <t xml:space="preserve">  • Fat FIRE: 30-33x annual expenses. Comfortable retirement with travel and lifestyle spending.</t>
  </si>
  <si>
    <t xml:space="preserve">  • Barista FIRE: Partially FI — work part-time for healthcare/income top-up.</t>
  </si>
  <si>
    <t xml:space="preserve">📊 4% RULE &amp; CANADIAN CONTEXT</t>
  </si>
  <si>
    <t xml:space="preserve">  • The 4% rule comes from US data. Many Canadian planners suggest 3-3.5% for safety.</t>
  </si>
  <si>
    <t xml:space="preserve">  • CPP and OAS reduce how much your portfolio needs to cover — factor this in.</t>
  </si>
  <si>
    <t xml:space="preserve">  • OAS starts at 65; CPP can start as early as 60 (at a reduction).</t>
  </si>
  <si>
    <t xml:space="preserve">  • Healthcare: Canada's public system covers basics, but dental/vision/extended care costs money in retirement.</t>
  </si>
</sst>
</file>

<file path=xl/styles.xml><?xml version="1.0" encoding="utf-8"?>
<styleSheet xmlns="http://schemas.openxmlformats.org/spreadsheetml/2006/main">
  <numFmts count="6">
    <numFmt numFmtId="164" formatCode="General"/>
    <numFmt numFmtId="165" formatCode="\$#,##0;&quot;($&quot;#,##0\);\-"/>
    <numFmt numFmtId="166" formatCode="0.0%"/>
    <numFmt numFmtId="167" formatCode="0"/>
    <numFmt numFmtId="168" formatCode="mmm\ yyyy"/>
    <numFmt numFmtId="169" formatCode="0.0"/>
  </numFmts>
  <fonts count="24">
    <font>
      <sz val="11"/>
      <color theme="1"/>
      <name val="Calibri"/>
      <family val="2"/>
      <charset val="1"/>
    </font>
    <font>
      <sz val="10"/>
      <name val="Arial"/>
      <family val="0"/>
    </font>
    <font>
      <sz val="10"/>
      <name val="Arial"/>
      <family val="0"/>
    </font>
    <font>
      <sz val="10"/>
      <name val="Arial"/>
      <family val="0"/>
    </font>
    <font>
      <b val="true"/>
      <sz val="18"/>
      <color rgb="FFF5A623"/>
      <name val="Calibri"/>
      <family val="0"/>
      <charset val="1"/>
    </font>
    <font>
      <sz val="11"/>
      <color rgb="FFFFFFFF"/>
      <name val="Calibri"/>
      <family val="0"/>
      <charset val="1"/>
    </font>
    <font>
      <sz val="9"/>
      <color rgb="FF8C9BAA"/>
      <name val="Calibri"/>
      <family val="0"/>
      <charset val="1"/>
    </font>
    <font>
      <b val="true"/>
      <i val="true"/>
      <sz val="11"/>
      <color rgb="FF0D7377"/>
      <name val="Calibri"/>
      <family val="0"/>
      <charset val="1"/>
    </font>
    <font>
      <i val="true"/>
      <sz val="9"/>
      <color rgb="FF8C9BAA"/>
      <name val="Calibri"/>
      <family val="0"/>
      <charset val="1"/>
    </font>
    <font>
      <b val="true"/>
      <sz val="10"/>
      <color rgb="FFFFFFFF"/>
      <name val="Calibri"/>
      <family val="0"/>
      <charset val="1"/>
    </font>
    <font>
      <sz val="9"/>
      <color rgb="FF1B2A4A"/>
      <name val="Calibri"/>
      <family val="0"/>
      <charset val="1"/>
    </font>
    <font>
      <b val="true"/>
      <sz val="9"/>
      <color rgb="FFFFFFFF"/>
      <name val="Calibri"/>
      <family val="0"/>
      <charset val="1"/>
    </font>
    <font>
      <b val="true"/>
      <sz val="9"/>
      <color rgb="FF0D7377"/>
      <name val="Calibri"/>
      <family val="0"/>
      <charset val="1"/>
    </font>
    <font>
      <b val="true"/>
      <sz val="9"/>
      <color rgb="FF1B2A4A"/>
      <name val="Calibri"/>
      <family val="0"/>
      <charset val="1"/>
    </font>
    <font>
      <i val="true"/>
      <sz val="9"/>
      <color rgb="FF1B2A4A"/>
      <name val="Calibri"/>
      <family val="0"/>
      <charset val="1"/>
    </font>
    <font>
      <b val="true"/>
      <sz val="9"/>
      <color rgb="FF92400E"/>
      <name val="Calibri"/>
      <family val="0"/>
      <charset val="1"/>
    </font>
    <font>
      <sz val="8"/>
      <color rgb="FF92400E"/>
      <name val="Calibri"/>
      <family val="0"/>
      <charset val="1"/>
    </font>
    <font>
      <b val="true"/>
      <sz val="8"/>
      <color rgb="FF92400E"/>
      <name val="Calibri"/>
      <family val="0"/>
      <charset val="1"/>
    </font>
    <font>
      <sz val="9"/>
      <color rgb="FFFFFFFF"/>
      <name val="Calibri"/>
      <family val="0"/>
      <charset val="1"/>
    </font>
    <font>
      <sz val="9"/>
      <color rgb="FF0000FF"/>
      <name val="Calibri"/>
      <family val="0"/>
      <charset val="1"/>
    </font>
    <font>
      <i val="true"/>
      <sz val="8"/>
      <color rgb="FF8C9BAA"/>
      <name val="Calibri"/>
      <family val="0"/>
      <charset val="1"/>
    </font>
    <font>
      <b val="true"/>
      <sz val="14"/>
      <color rgb="FFFFFFFF"/>
      <name val="Calibri"/>
      <family val="0"/>
      <charset val="1"/>
    </font>
    <font>
      <b val="true"/>
      <sz val="14"/>
      <color rgb="FFF5A623"/>
      <name val="Calibri"/>
      <family val="0"/>
      <charset val="1"/>
    </font>
    <font>
      <b val="true"/>
      <sz val="11"/>
      <color rgb="FFFFFFFF"/>
      <name val="Calibri"/>
      <family val="0"/>
      <charset val="1"/>
    </font>
  </fonts>
  <fills count="9">
    <fill>
      <patternFill patternType="none"/>
    </fill>
    <fill>
      <patternFill patternType="gray125"/>
    </fill>
    <fill>
      <patternFill patternType="solid">
        <fgColor rgb="FF1B2A4A"/>
        <bgColor rgb="FF003366"/>
      </patternFill>
    </fill>
    <fill>
      <patternFill patternType="solid">
        <fgColor rgb="FFEBF4F6"/>
        <bgColor rgb="FFF7F9FC"/>
      </patternFill>
    </fill>
    <fill>
      <patternFill patternType="solid">
        <fgColor rgb="FF0D7377"/>
        <bgColor rgb="FF008080"/>
      </patternFill>
    </fill>
    <fill>
      <patternFill patternType="solid">
        <fgColor rgb="FFF7F9FC"/>
        <bgColor rgb="FFFFFFFF"/>
      </patternFill>
    </fill>
    <fill>
      <patternFill patternType="solid">
        <fgColor rgb="FFFFFFFF"/>
        <bgColor rgb="FFF7F9FC"/>
      </patternFill>
    </fill>
    <fill>
      <patternFill patternType="solid">
        <fgColor rgb="FFFDE68A"/>
        <bgColor rgb="FFFFCC99"/>
      </patternFill>
    </fill>
    <fill>
      <patternFill patternType="solid">
        <fgColor rgb="FFFEF3C7"/>
        <bgColor rgb="FFF7F9FC"/>
      </patternFill>
    </fill>
  </fills>
  <borders count="3">
    <border diagonalUp="false" diagonalDown="false">
      <left/>
      <right/>
      <top/>
      <bottom/>
      <diagonal/>
    </border>
    <border diagonalUp="false" diagonalDown="false">
      <left style="thin">
        <color rgb="FFD0D8E4"/>
      </left>
      <right style="thin">
        <color rgb="FFD0D8E4"/>
      </right>
      <top style="thin">
        <color rgb="FFD0D8E4"/>
      </top>
      <bottom style="thin">
        <color rgb="FFD0D8E4"/>
      </bottom>
      <diagonal/>
    </border>
    <border diagonalUp="false" diagonalDown="false">
      <left style="thin">
        <color rgb="FFD0D8E4"/>
      </left>
      <right/>
      <top style="thin">
        <color rgb="FFD0D8E4"/>
      </top>
      <bottom style="thin">
        <color rgb="FFD0D8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6" fillId="2" borderId="0" xfId="0" applyFont="true" applyBorder="true" applyAlignment="true" applyProtection="false">
      <alignment horizontal="center" vertical="center" textRotation="0" wrapText="false" indent="0" shrinkToFit="false"/>
      <protection locked="true" hidden="false"/>
    </xf>
    <xf numFmtId="164" fontId="7" fillId="3" borderId="0" xfId="0" applyFont="true" applyBorder="true" applyAlignment="true" applyProtection="false">
      <alignment horizontal="center" vertical="center" textRotation="0" wrapText="true" indent="0" shrinkToFit="false"/>
      <protection locked="true" hidden="false"/>
    </xf>
    <xf numFmtId="164" fontId="8" fillId="3" borderId="0" xfId="0" applyFont="true" applyBorder="true" applyAlignment="true" applyProtection="false">
      <alignment horizontal="center" vertical="center" textRotation="0" wrapText="false" indent="0" shrinkToFit="false"/>
      <protection locked="true" hidden="false"/>
    </xf>
    <xf numFmtId="164" fontId="9" fillId="4" borderId="0" xfId="0" applyFont="true" applyBorder="true" applyAlignment="true" applyProtection="false">
      <alignment horizontal="left" vertical="center" textRotation="0" wrapText="false" indent="0" shrinkToFit="false"/>
      <protection locked="true" hidden="false"/>
    </xf>
    <xf numFmtId="164" fontId="10" fillId="5" borderId="0"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false" indent="0" shrinkToFit="false"/>
      <protection locked="true" hidden="false"/>
    </xf>
    <xf numFmtId="164" fontId="12" fillId="5" borderId="1" xfId="0" applyFont="true" applyBorder="true" applyAlignment="true" applyProtection="false">
      <alignment horizontal="left" vertical="center" textRotation="0" wrapText="true" indent="0" shrinkToFit="false"/>
      <protection locked="true" hidden="false"/>
    </xf>
    <xf numFmtId="164" fontId="10" fillId="5" borderId="1" xfId="0" applyFont="true" applyBorder="true" applyAlignment="true" applyProtection="false">
      <alignment horizontal="left" vertical="center" textRotation="0" wrapText="true" indent="0" shrinkToFit="false"/>
      <protection locked="true" hidden="false"/>
    </xf>
    <xf numFmtId="164" fontId="12" fillId="6" borderId="1" xfId="0" applyFont="true" applyBorder="true" applyAlignment="true" applyProtection="false">
      <alignment horizontal="left" vertical="center" textRotation="0" wrapText="true" indent="0" shrinkToFit="false"/>
      <protection locked="true" hidden="false"/>
    </xf>
    <xf numFmtId="164" fontId="10" fillId="6" borderId="1" xfId="0" applyFont="true" applyBorder="true" applyAlignment="true" applyProtection="false">
      <alignment horizontal="left" vertical="center" textRotation="0" wrapText="true" indent="0" shrinkToFit="false"/>
      <protection locked="true" hidden="false"/>
    </xf>
    <xf numFmtId="164" fontId="13" fillId="5" borderId="1" xfId="0" applyFont="true" applyBorder="true" applyAlignment="true" applyProtection="false">
      <alignment horizontal="left" vertical="center" textRotation="0" wrapText="false" indent="0" shrinkToFit="false"/>
      <protection locked="true" hidden="false"/>
    </xf>
    <xf numFmtId="164" fontId="10" fillId="5" borderId="2" xfId="0" applyFont="true" applyBorder="true" applyAlignment="true" applyProtection="false">
      <alignment horizontal="left" vertical="center" textRotation="0" wrapText="false" indent="0" shrinkToFit="false"/>
      <protection locked="true" hidden="false"/>
    </xf>
    <xf numFmtId="164" fontId="13" fillId="6" borderId="1" xfId="0" applyFont="true" applyBorder="true" applyAlignment="true" applyProtection="false">
      <alignment horizontal="left" vertical="center" textRotation="0" wrapText="false" indent="0" shrinkToFit="false"/>
      <protection locked="true" hidden="false"/>
    </xf>
    <xf numFmtId="164" fontId="10" fillId="6" borderId="2" xfId="0" applyFont="true" applyBorder="true" applyAlignment="true" applyProtection="false">
      <alignment horizontal="left" vertical="center" textRotation="0" wrapText="false" indent="0" shrinkToFit="false"/>
      <protection locked="true" hidden="false"/>
    </xf>
    <xf numFmtId="164" fontId="14" fillId="5" borderId="0" xfId="0" applyFont="true" applyBorder="true" applyAlignment="true" applyProtection="false">
      <alignment horizontal="left" vertical="center" textRotation="0" wrapText="true" indent="0" shrinkToFit="false"/>
      <protection locked="true" hidden="false"/>
    </xf>
    <xf numFmtId="164" fontId="14" fillId="6" borderId="0" xfId="0" applyFont="true" applyBorder="true" applyAlignment="true" applyProtection="false">
      <alignment horizontal="left" vertical="center" textRotation="0" wrapText="true" indent="0" shrinkToFit="false"/>
      <protection locked="true" hidden="false"/>
    </xf>
    <xf numFmtId="164" fontId="15" fillId="7" borderId="0" xfId="0" applyFont="true" applyBorder="true" applyAlignment="true" applyProtection="false">
      <alignment horizontal="left" vertical="center" textRotation="0" wrapText="false" indent="0" shrinkToFit="false"/>
      <protection locked="true" hidden="false"/>
    </xf>
    <xf numFmtId="164" fontId="16" fillId="8" borderId="0" xfId="0" applyFont="true" applyBorder="true" applyAlignment="true" applyProtection="false">
      <alignment horizontal="left" vertical="center" textRotation="0" wrapText="false" indent="0" shrinkToFit="false"/>
      <protection locked="true" hidden="false"/>
    </xf>
    <xf numFmtId="164" fontId="17" fillId="8" borderId="0" xfId="0" applyFont="true" applyBorder="true" applyAlignment="true" applyProtection="false">
      <alignment horizontal="left" vertical="center"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18" fillId="2" borderId="0" xfId="0" applyFont="true" applyBorder="true" applyAlignment="true" applyProtection="false">
      <alignment horizontal="left" vertical="center" textRotation="0" wrapText="false" indent="0" shrinkToFit="false"/>
      <protection locked="true" hidden="false"/>
    </xf>
    <xf numFmtId="164" fontId="19" fillId="5" borderId="1" xfId="0" applyFont="true" applyBorder="true" applyAlignment="true" applyProtection="false">
      <alignment horizontal="left" vertical="center" textRotation="0" wrapText="false" indent="0" shrinkToFit="false"/>
      <protection locked="true" hidden="false"/>
    </xf>
    <xf numFmtId="165" fontId="19" fillId="5" borderId="1" xfId="0" applyFont="true" applyBorder="true" applyAlignment="true" applyProtection="false">
      <alignment horizontal="right" vertical="center" textRotation="0" wrapText="false" indent="0" shrinkToFit="false"/>
      <protection locked="true" hidden="false"/>
    </xf>
    <xf numFmtId="164" fontId="20" fillId="5" borderId="1" xfId="0" applyFont="true" applyBorder="true" applyAlignment="true" applyProtection="false">
      <alignment horizontal="left" vertical="center" textRotation="0" wrapText="tru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19" fillId="6" borderId="1" xfId="0" applyFont="true" applyBorder="true" applyAlignment="true" applyProtection="false">
      <alignment horizontal="left" vertical="center" textRotation="0" wrapText="false" indent="0" shrinkToFit="false"/>
      <protection locked="true" hidden="false"/>
    </xf>
    <xf numFmtId="165" fontId="19" fillId="6" borderId="1" xfId="0" applyFont="true" applyBorder="true" applyAlignment="true" applyProtection="false">
      <alignment horizontal="right" vertical="center" textRotation="0" wrapText="false" indent="0" shrinkToFit="false"/>
      <protection locked="true" hidden="false"/>
    </xf>
    <xf numFmtId="164" fontId="20" fillId="6" borderId="1" xfId="0" applyFont="true" applyBorder="true" applyAlignment="true" applyProtection="false">
      <alignment horizontal="left" vertical="center" textRotation="0" wrapText="tru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6" fontId="19" fillId="5" borderId="1" xfId="0" applyFont="true" applyBorder="true" applyAlignment="true" applyProtection="false">
      <alignment horizontal="right" vertical="center" textRotation="0" wrapText="false" indent="0" shrinkToFit="false"/>
      <protection locked="true" hidden="false"/>
    </xf>
    <xf numFmtId="165" fontId="10" fillId="5" borderId="1" xfId="0" applyFont="true" applyBorder="true" applyAlignment="true" applyProtection="false">
      <alignment horizontal="right" vertical="center" textRotation="0" wrapText="false" indent="0" shrinkToFit="false"/>
      <protection locked="true" hidden="false"/>
    </xf>
    <xf numFmtId="164" fontId="6" fillId="5" borderId="1" xfId="0" applyFont="true" applyBorder="true" applyAlignment="true" applyProtection="false">
      <alignment horizontal="left" vertical="center" textRotation="0" wrapText="false" indent="0" shrinkToFit="false"/>
      <protection locked="true" hidden="false"/>
    </xf>
    <xf numFmtId="164" fontId="6" fillId="5" borderId="1" xfId="0" applyFont="true" applyBorder="true" applyAlignment="true" applyProtection="false">
      <alignment horizontal="left" vertical="center" textRotation="0" wrapText="true" indent="0" shrinkToFit="false"/>
      <protection locked="true" hidden="false"/>
    </xf>
    <xf numFmtId="165" fontId="10" fillId="6" borderId="1" xfId="0" applyFont="true" applyBorder="true" applyAlignment="true" applyProtection="false">
      <alignment horizontal="right" vertical="center" textRotation="0" wrapText="false" indent="0" shrinkToFit="false"/>
      <protection locked="true" hidden="false"/>
    </xf>
    <xf numFmtId="164" fontId="6" fillId="6" borderId="1" xfId="0" applyFont="true" applyBorder="true" applyAlignment="true" applyProtection="false">
      <alignment horizontal="left" vertical="center" textRotation="0" wrapText="false" indent="0" shrinkToFit="false"/>
      <protection locked="true" hidden="false"/>
    </xf>
    <xf numFmtId="164" fontId="6" fillId="6" borderId="1" xfId="0" applyFont="true" applyBorder="true" applyAlignment="true" applyProtection="false">
      <alignment horizontal="left" vertical="center" textRotation="0" wrapText="true" indent="0" shrinkToFit="false"/>
      <protection locked="true" hidden="false"/>
    </xf>
    <xf numFmtId="166" fontId="19" fillId="6" borderId="1" xfId="0" applyFont="true" applyBorder="true" applyAlignment="true" applyProtection="false">
      <alignment horizontal="right" vertical="center" textRotation="0" wrapText="false" indent="0" shrinkToFit="false"/>
      <protection locked="true" hidden="false"/>
    </xf>
    <xf numFmtId="167" fontId="19" fillId="5" borderId="1" xfId="0" applyFont="true" applyBorder="true" applyAlignment="true" applyProtection="false">
      <alignment horizontal="right" vertical="center" textRotation="0" wrapText="false" indent="0" shrinkToFit="false"/>
      <protection locked="true" hidden="false"/>
    </xf>
    <xf numFmtId="167" fontId="19" fillId="6" borderId="1" xfId="0" applyFont="true" applyBorder="true" applyAlignment="true" applyProtection="false">
      <alignment horizontal="right" vertical="center" textRotation="0" wrapText="false" indent="0" shrinkToFit="false"/>
      <protection locked="true" hidden="false"/>
    </xf>
    <xf numFmtId="167" fontId="10" fillId="5" borderId="1" xfId="0" applyFont="true" applyBorder="true" applyAlignment="true" applyProtection="false">
      <alignment horizontal="right" vertical="center" textRotation="0" wrapText="false" indent="0" shrinkToFit="false"/>
      <protection locked="true" hidden="false"/>
    </xf>
    <xf numFmtId="166" fontId="10" fillId="6" borderId="1" xfId="0" applyFont="true" applyBorder="true" applyAlignment="true" applyProtection="false">
      <alignment horizontal="right" vertical="center" textRotation="0" wrapText="false" indent="0" shrinkToFit="false"/>
      <protection locked="true" hidden="false"/>
    </xf>
    <xf numFmtId="168" fontId="10" fillId="6" borderId="1" xfId="0" applyFont="true" applyBorder="true" applyAlignment="true" applyProtection="false">
      <alignment horizontal="right" vertical="center" textRotation="0" wrapText="false" indent="0" shrinkToFit="false"/>
      <protection locked="true" hidden="false"/>
    </xf>
    <xf numFmtId="164" fontId="11" fillId="4" borderId="1" xfId="0" applyFont="true" applyBorder="true" applyAlignment="true" applyProtection="false">
      <alignment horizontal="center" vertical="center" textRotation="0" wrapText="false" indent="0" shrinkToFit="false"/>
      <protection locked="true" hidden="false"/>
    </xf>
    <xf numFmtId="165" fontId="21" fillId="4" borderId="1" xfId="0" applyFont="true" applyBorder="true" applyAlignment="true" applyProtection="false">
      <alignment horizontal="center" vertical="center" textRotation="0" wrapText="false" indent="0" shrinkToFit="false"/>
      <protection locked="true" hidden="false"/>
    </xf>
    <xf numFmtId="165" fontId="22" fillId="2" borderId="1" xfId="0" applyFont="true" applyBorder="true" applyAlignment="true" applyProtection="false">
      <alignment horizontal="center" vertical="center" textRotation="0" wrapText="false" indent="0" shrinkToFit="false"/>
      <protection locked="true" hidden="false"/>
    </xf>
    <xf numFmtId="166" fontId="21" fillId="4" borderId="1" xfId="0" applyFont="true" applyBorder="true" applyAlignment="true" applyProtection="false">
      <alignment horizontal="center" vertical="center" textRotation="0" wrapText="false" indent="0" shrinkToFit="false"/>
      <protection locked="true" hidden="false"/>
    </xf>
    <xf numFmtId="169" fontId="22" fillId="2" borderId="1" xfId="0" applyFont="true" applyBorder="true" applyAlignment="true" applyProtection="false">
      <alignment horizontal="center" vertical="center" textRotation="0" wrapText="false" indent="0" shrinkToFit="false"/>
      <protection locked="true" hidden="false"/>
    </xf>
    <xf numFmtId="167" fontId="13" fillId="5" borderId="1" xfId="0" applyFont="true" applyBorder="true" applyAlignment="true" applyProtection="false">
      <alignment horizontal="center" vertical="bottom" textRotation="0" wrapText="false" indent="0" shrinkToFit="false"/>
      <protection locked="true" hidden="false"/>
    </xf>
    <xf numFmtId="167" fontId="6" fillId="5" borderId="1" xfId="0" applyFont="true" applyBorder="true" applyAlignment="true" applyProtection="false">
      <alignment horizontal="center" vertical="bottom" textRotation="0" wrapText="false" indent="0" shrinkToFit="false"/>
      <protection locked="true" hidden="false"/>
    </xf>
    <xf numFmtId="165" fontId="10" fillId="5" borderId="1" xfId="0" applyFont="true" applyBorder="true" applyAlignment="true" applyProtection="false">
      <alignment horizontal="right" vertical="bottom" textRotation="0" wrapText="false" indent="0" shrinkToFit="false"/>
      <protection locked="true" hidden="false"/>
    </xf>
    <xf numFmtId="165" fontId="6" fillId="5" borderId="1" xfId="0" applyFont="true" applyBorder="true" applyAlignment="true" applyProtection="false">
      <alignment horizontal="right" vertical="bottom" textRotation="0" wrapText="false" indent="0" shrinkToFit="false"/>
      <protection locked="true" hidden="false"/>
    </xf>
    <xf numFmtId="165" fontId="12" fillId="5" borderId="1" xfId="0" applyFont="true" applyBorder="true" applyAlignment="true" applyProtection="false">
      <alignment horizontal="right" vertical="bottom" textRotation="0" wrapText="false" indent="0" shrinkToFit="false"/>
      <protection locked="true" hidden="false"/>
    </xf>
    <xf numFmtId="167" fontId="13" fillId="6" borderId="1" xfId="0" applyFont="true" applyBorder="true" applyAlignment="true" applyProtection="false">
      <alignment horizontal="center" vertical="bottom" textRotation="0" wrapText="false" indent="0" shrinkToFit="false"/>
      <protection locked="true" hidden="false"/>
    </xf>
    <xf numFmtId="167" fontId="6" fillId="6" borderId="1" xfId="0" applyFont="true" applyBorder="true" applyAlignment="true" applyProtection="false">
      <alignment horizontal="center" vertical="bottom" textRotation="0" wrapText="false" indent="0" shrinkToFit="false"/>
      <protection locked="true" hidden="false"/>
    </xf>
    <xf numFmtId="165" fontId="10" fillId="6" borderId="1" xfId="0" applyFont="true" applyBorder="true" applyAlignment="true" applyProtection="false">
      <alignment horizontal="right" vertical="bottom" textRotation="0" wrapText="false" indent="0" shrinkToFit="false"/>
      <protection locked="true" hidden="false"/>
    </xf>
    <xf numFmtId="165" fontId="6" fillId="6" borderId="1" xfId="0" applyFont="true" applyBorder="true" applyAlignment="true" applyProtection="false">
      <alignment horizontal="right" vertical="bottom" textRotation="0" wrapText="false" indent="0" shrinkToFit="false"/>
      <protection locked="true" hidden="false"/>
    </xf>
    <xf numFmtId="165" fontId="12" fillId="6" borderId="1" xfId="0" applyFont="true" applyBorder="true" applyAlignment="true" applyProtection="false">
      <alignment horizontal="right" vertical="bottom" textRotation="0" wrapText="false" indent="0" shrinkToFit="false"/>
      <protection locked="true" hidden="false"/>
    </xf>
    <xf numFmtId="164" fontId="23" fillId="4" borderId="0" xfId="0" applyFont="true" applyBorder="false" applyAlignment="true" applyProtection="false">
      <alignment horizontal="left" vertical="center" textRotation="0" wrapText="false" indent="0" shrinkToFit="false"/>
      <protection locked="true" hidden="false"/>
    </xf>
    <xf numFmtId="164" fontId="10" fillId="5" borderId="0" xfId="0" applyFont="true" applyBorder="false" applyAlignment="true" applyProtection="false">
      <alignment horizontal="left" vertical="center" textRotation="0" wrapText="false" indent="0" shrinkToFit="false"/>
      <protection locked="true" hidden="false"/>
    </xf>
    <xf numFmtId="164" fontId="10" fillId="6" borderId="0" xfId="0" applyFont="true" applyBorder="false" applyAlignment="true" applyProtection="false">
      <alignment horizontal="left" vertical="center" textRotation="0" wrapText="false" indent="0" shrinkToFit="false"/>
      <protection locked="true" hidden="false"/>
    </xf>
    <xf numFmtId="164" fontId="23" fillId="2" borderId="0" xfId="0" applyFont="true" applyBorder="false" applyAlignment="true" applyProtection="false">
      <alignment horizontal="left" vertical="center" textRotation="0" wrapText="false" indent="0" shrinkToFit="false"/>
      <protection locked="true" hidden="false"/>
    </xf>
    <xf numFmtId="164" fontId="15" fillId="7" borderId="0" xfId="0" applyFont="true" applyBorder="false" applyAlignment="true" applyProtection="false">
      <alignment horizontal="left" vertical="center" textRotation="0" wrapText="false" indent="0" shrinkToFit="false"/>
      <protection locked="true" hidden="false"/>
    </xf>
    <xf numFmtId="164" fontId="16" fillId="8" borderId="0" xfId="0" applyFont="true" applyBorder="false" applyAlignment="true" applyProtection="false">
      <alignment horizontal="left" vertical="center" textRotation="0" wrapText="false" indent="0" shrinkToFit="false"/>
      <protection locked="true" hidden="false"/>
    </xf>
    <xf numFmtId="164" fontId="17" fillId="8" borderId="0" xfId="0" applyFont="true" applyBorder="fals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D7377"/>
      <rgbColor rgb="FFC0C0C0"/>
      <rgbColor rgb="FF808080"/>
      <rgbColor rgb="FF9999FF"/>
      <rgbColor rgb="FF993366"/>
      <rgbColor rgb="FFFEF3C7"/>
      <rgbColor rgb="FFEBF4F6"/>
      <rgbColor rgb="FF660066"/>
      <rgbColor rgb="FFFF8080"/>
      <rgbColor rgb="FF0066CC"/>
      <rgbColor rgb="FFD0D8E4"/>
      <rgbColor rgb="FF000080"/>
      <rgbColor rgb="FFFF00FF"/>
      <rgbColor rgb="FFFFFF00"/>
      <rgbColor rgb="FF00FFFF"/>
      <rgbColor rgb="FF800080"/>
      <rgbColor rgb="FF800000"/>
      <rgbColor rgb="FF008080"/>
      <rgbColor rgb="FF0000FF"/>
      <rgbColor rgb="FF00CCFF"/>
      <rgbColor rgb="FFF7F9FC"/>
      <rgbColor rgb="FFCCFFCC"/>
      <rgbColor rgb="FFFDE68A"/>
      <rgbColor rgb="FF99CCFF"/>
      <rgbColor rgb="FFFF99CC"/>
      <rgbColor rgb="FFCC99FF"/>
      <rgbColor rgb="FFFFCC99"/>
      <rgbColor rgb="FF3366FF"/>
      <rgbColor rgb="FF33CCCC"/>
      <rgbColor rgb="FF99CC00"/>
      <rgbColor rgb="FFFFCC00"/>
      <rgbColor rgb="FFF5A623"/>
      <rgbColor rgb="FFFF6600"/>
      <rgbColor rgb="FF666699"/>
      <rgbColor rgb="FF8C9BAA"/>
      <rgbColor rgb="FF003366"/>
      <rgbColor rgb="FF339966"/>
      <rgbColor rgb="FF003300"/>
      <rgbColor rgb="FF333300"/>
      <rgbColor rgb="FF92400E"/>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5" min="3" style="0" width="20"/>
    <col collapsed="false" customWidth="true" hidden="false" outlineLevel="0" max="6" min="6" style="0" width="2"/>
  </cols>
  <sheetData>
    <row r="1" customFormat="false" ht="36" hidden="false" customHeight="true" outlineLevel="0" collapsed="false">
      <c r="B1" s="1" t="s">
        <v>0</v>
      </c>
      <c r="C1" s="1"/>
      <c r="D1" s="1"/>
      <c r="E1" s="1"/>
    </row>
    <row r="2" customFormat="false" ht="19.5" hidden="false" customHeight="true" outlineLevel="0" collapsed="false">
      <c r="B2" s="2" t="s">
        <v>1</v>
      </c>
      <c r="C2" s="2"/>
      <c r="D2" s="2"/>
      <c r="E2" s="2"/>
    </row>
    <row r="3" customFormat="false" ht="15.75" hidden="false" customHeight="true" outlineLevel="0" collapsed="false">
      <c r="B3" s="3" t="s">
        <v>2</v>
      </c>
      <c r="C3" s="3"/>
      <c r="D3" s="3"/>
      <c r="E3" s="3"/>
    </row>
    <row r="4" customFormat="false" ht="7.5" hidden="false" customHeight="true" outlineLevel="0" collapsed="false"/>
    <row r="5" customFormat="false" ht="27.75" hidden="false" customHeight="true" outlineLevel="0" collapsed="false">
      <c r="B5" s="4" t="s">
        <v>3</v>
      </c>
      <c r="C5" s="4"/>
      <c r="D5" s="4"/>
      <c r="E5" s="4"/>
    </row>
    <row r="6" customFormat="false" ht="9.75" hidden="false" customHeight="true" outlineLevel="0" collapsed="false">
      <c r="B6" s="4"/>
      <c r="C6" s="4"/>
      <c r="D6" s="4"/>
      <c r="E6" s="4"/>
    </row>
    <row r="7" customFormat="false" ht="15.75" hidden="false" customHeight="true" outlineLevel="0" collapsed="false">
      <c r="B7" s="5" t="s">
        <v>4</v>
      </c>
      <c r="C7" s="5"/>
      <c r="D7" s="5"/>
      <c r="E7" s="5"/>
    </row>
    <row r="8" customFormat="false" ht="9.75" hidden="false" customHeight="true" outlineLevel="0" collapsed="false"/>
    <row r="9" customFormat="false" ht="19.5" hidden="false" customHeight="true" outlineLevel="0" collapsed="false">
      <c r="B9" s="6" t="s">
        <v>5</v>
      </c>
      <c r="C9" s="6"/>
      <c r="D9" s="6"/>
      <c r="E9" s="6"/>
    </row>
    <row r="10" customFormat="false" ht="27.75" hidden="false" customHeight="true" outlineLevel="0" collapsed="false">
      <c r="B10" s="7" t="s">
        <v>6</v>
      </c>
      <c r="C10" s="7"/>
      <c r="D10" s="7"/>
      <c r="E10" s="7"/>
    </row>
    <row r="11" customFormat="false" ht="7.5" hidden="false" customHeight="true" outlineLevel="0" collapsed="false"/>
    <row r="12" customFormat="false" ht="19.5" hidden="false" customHeight="true" outlineLevel="0" collapsed="false">
      <c r="B12" s="6" t="s">
        <v>7</v>
      </c>
      <c r="C12" s="6"/>
      <c r="D12" s="6"/>
      <c r="E12" s="6"/>
    </row>
    <row r="13" customFormat="false" ht="15.75" hidden="false" customHeight="true" outlineLevel="0" collapsed="false">
      <c r="B13" s="8" t="s">
        <v>8</v>
      </c>
      <c r="C13" s="8" t="s">
        <v>9</v>
      </c>
      <c r="D13" s="8" t="s">
        <v>10</v>
      </c>
      <c r="E13" s="8" t="s">
        <v>11</v>
      </c>
    </row>
    <row r="14" customFormat="false" ht="19.5" hidden="false" customHeight="true" outlineLevel="0" collapsed="false">
      <c r="B14" s="9" t="s">
        <v>12</v>
      </c>
      <c r="C14" s="10" t="s">
        <v>13</v>
      </c>
      <c r="D14" s="10" t="s">
        <v>14</v>
      </c>
      <c r="E14" s="10" t="s">
        <v>15</v>
      </c>
    </row>
    <row r="15" customFormat="false" ht="19.5" hidden="false" customHeight="true" outlineLevel="0" collapsed="false">
      <c r="B15" s="11" t="s">
        <v>16</v>
      </c>
      <c r="C15" s="12" t="s">
        <v>17</v>
      </c>
      <c r="D15" s="12" t="s">
        <v>18</v>
      </c>
      <c r="E15" s="12" t="s">
        <v>19</v>
      </c>
    </row>
    <row r="16" customFormat="false" ht="19.5" hidden="false" customHeight="true" outlineLevel="0" collapsed="false">
      <c r="B16" s="9" t="s">
        <v>20</v>
      </c>
      <c r="C16" s="10" t="s">
        <v>21</v>
      </c>
      <c r="D16" s="10" t="s">
        <v>22</v>
      </c>
      <c r="E16" s="10" t="s">
        <v>23</v>
      </c>
    </row>
    <row r="17" customFormat="false" ht="19.5" hidden="false" customHeight="true" outlineLevel="0" collapsed="false">
      <c r="B17" s="11" t="s">
        <v>24</v>
      </c>
      <c r="C17" s="12" t="s">
        <v>25</v>
      </c>
      <c r="D17" s="12" t="s">
        <v>26</v>
      </c>
      <c r="E17" s="12" t="s">
        <v>27</v>
      </c>
    </row>
    <row r="18" customFormat="false" ht="19.5" hidden="false" customHeight="true" outlineLevel="0" collapsed="false">
      <c r="B18" s="9" t="s">
        <v>28</v>
      </c>
      <c r="C18" s="10" t="s">
        <v>29</v>
      </c>
      <c r="D18" s="10" t="s">
        <v>30</v>
      </c>
      <c r="E18" s="10" t="s">
        <v>31</v>
      </c>
    </row>
    <row r="19" customFormat="false" ht="7.5" hidden="false" customHeight="true" outlineLevel="0" collapsed="false"/>
    <row r="20" customFormat="false" ht="19.5" hidden="false" customHeight="true" outlineLevel="0" collapsed="false">
      <c r="B20" s="6" t="s">
        <v>32</v>
      </c>
      <c r="C20" s="6"/>
      <c r="D20" s="6"/>
      <c r="E20" s="6"/>
    </row>
    <row r="21" customFormat="false" ht="18" hidden="false" customHeight="true" outlineLevel="0" collapsed="false">
      <c r="B21" s="13" t="s">
        <v>33</v>
      </c>
      <c r="C21" s="14" t="s">
        <v>34</v>
      </c>
      <c r="D21" s="14"/>
      <c r="E21" s="14"/>
    </row>
    <row r="22" customFormat="false" ht="18" hidden="false" customHeight="true" outlineLevel="0" collapsed="false">
      <c r="B22" s="15" t="s">
        <v>35</v>
      </c>
      <c r="C22" s="16" t="s">
        <v>36</v>
      </c>
      <c r="D22" s="16"/>
      <c r="E22" s="16"/>
    </row>
    <row r="23" customFormat="false" ht="18" hidden="false" customHeight="true" outlineLevel="0" collapsed="false">
      <c r="B23" s="13" t="s">
        <v>37</v>
      </c>
      <c r="C23" s="14" t="s">
        <v>38</v>
      </c>
      <c r="D23" s="14"/>
      <c r="E23" s="14"/>
    </row>
    <row r="24" customFormat="false" ht="18" hidden="false" customHeight="true" outlineLevel="0" collapsed="false">
      <c r="B24" s="15" t="s">
        <v>39</v>
      </c>
      <c r="C24" s="16" t="s">
        <v>40</v>
      </c>
      <c r="D24" s="16"/>
      <c r="E24" s="16"/>
    </row>
    <row r="25" customFormat="false" ht="7.5" hidden="false" customHeight="true" outlineLevel="0" collapsed="false"/>
    <row r="26" customFormat="false" ht="19.5" hidden="false" customHeight="true" outlineLevel="0" collapsed="false">
      <c r="B26" s="6" t="s">
        <v>41</v>
      </c>
      <c r="C26" s="6"/>
      <c r="D26" s="6"/>
      <c r="E26" s="6"/>
    </row>
    <row r="27" customFormat="false" ht="21.75" hidden="false" customHeight="true" outlineLevel="0" collapsed="false">
      <c r="B27" s="17" t="s">
        <v>42</v>
      </c>
      <c r="C27" s="17"/>
      <c r="D27" s="17"/>
      <c r="E27" s="17"/>
    </row>
    <row r="28" customFormat="false" ht="21.75" hidden="false" customHeight="true" outlineLevel="0" collapsed="false">
      <c r="B28" s="18" t="s">
        <v>43</v>
      </c>
      <c r="C28" s="18"/>
      <c r="D28" s="18"/>
      <c r="E28" s="18"/>
    </row>
    <row r="29" customFormat="false" ht="21.75" hidden="false" customHeight="true" outlineLevel="0" collapsed="false">
      <c r="B29" s="17" t="s">
        <v>44</v>
      </c>
      <c r="C29" s="17"/>
      <c r="D29" s="17"/>
      <c r="E29" s="17"/>
    </row>
    <row r="30" customFormat="false" ht="21.75" hidden="false" customHeight="true" outlineLevel="0" collapsed="false">
      <c r="B30" s="18" t="s">
        <v>45</v>
      </c>
      <c r="C30" s="18"/>
      <c r="D30" s="18"/>
      <c r="E30" s="18"/>
    </row>
    <row r="31" customFormat="false" ht="7.5" hidden="false" customHeight="true" outlineLevel="0" collapsed="false"/>
    <row r="32" customFormat="false" ht="15.75" hidden="false" customHeight="true" outlineLevel="0" collapsed="false">
      <c r="B32" s="19" t="s">
        <v>46</v>
      </c>
      <c r="C32" s="19"/>
      <c r="D32" s="19"/>
      <c r="E32" s="19"/>
    </row>
    <row r="33" customFormat="false" ht="13.5" hidden="false" customHeight="true" outlineLevel="0" collapsed="false">
      <c r="B33" s="20" t="s">
        <v>47</v>
      </c>
      <c r="C33" s="20"/>
      <c r="D33" s="20"/>
      <c r="E33" s="20"/>
    </row>
    <row r="34" customFormat="false" ht="13.5" hidden="false" customHeight="true" outlineLevel="0" collapsed="false">
      <c r="B34" s="20" t="s">
        <v>48</v>
      </c>
      <c r="C34" s="20"/>
      <c r="D34" s="20"/>
      <c r="E34" s="20"/>
    </row>
    <row r="35" customFormat="false" ht="13.5" hidden="false" customHeight="true" outlineLevel="0" collapsed="false">
      <c r="B35" s="20" t="s">
        <v>49</v>
      </c>
      <c r="C35" s="20"/>
      <c r="D35" s="20"/>
      <c r="E35" s="20"/>
    </row>
    <row r="36" customFormat="false" ht="13.5" hidden="false" customHeight="true" outlineLevel="0" collapsed="false">
      <c r="B36" s="21" t="s">
        <v>50</v>
      </c>
      <c r="C36" s="21"/>
      <c r="D36" s="21"/>
      <c r="E36" s="21"/>
    </row>
  </sheetData>
  <mergeCells count="23">
    <mergeCell ref="B1:E1"/>
    <mergeCell ref="B2:E2"/>
    <mergeCell ref="B3:E3"/>
    <mergeCell ref="B5:E6"/>
    <mergeCell ref="B7:E7"/>
    <mergeCell ref="B9:E9"/>
    <mergeCell ref="B10:E10"/>
    <mergeCell ref="B12:E12"/>
    <mergeCell ref="B20:E20"/>
    <mergeCell ref="C21:E21"/>
    <mergeCell ref="C22:E22"/>
    <mergeCell ref="C23:E23"/>
    <mergeCell ref="C24:E24"/>
    <mergeCell ref="B26:E26"/>
    <mergeCell ref="B27:E27"/>
    <mergeCell ref="B28:E28"/>
    <mergeCell ref="B29:E29"/>
    <mergeCell ref="B30:E30"/>
    <mergeCell ref="B32:E32"/>
    <mergeCell ref="B33:E33"/>
    <mergeCell ref="B34:E34"/>
    <mergeCell ref="B35:E35"/>
    <mergeCell ref="B36:E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4" min="3" style="0" width="18"/>
    <col collapsed="false" customWidth="true" hidden="false" outlineLevel="0" max="5" min="5" style="0" width="22"/>
    <col collapsed="false" customWidth="true" hidden="false" outlineLevel="0" max="6" min="6" style="0" width="2"/>
  </cols>
  <sheetData>
    <row r="1" customFormat="false" ht="31.5" hidden="false" customHeight="true" outlineLevel="0" collapsed="false">
      <c r="B1" s="22" t="s">
        <v>51</v>
      </c>
      <c r="C1" s="22"/>
      <c r="D1" s="22"/>
      <c r="E1" s="22"/>
    </row>
    <row r="2" customFormat="false" ht="15.75" hidden="false" customHeight="true" outlineLevel="0" collapsed="false">
      <c r="B2" s="23" t="s">
        <v>52</v>
      </c>
      <c r="C2" s="23"/>
      <c r="D2" s="23"/>
      <c r="E2" s="23"/>
    </row>
    <row r="3" customFormat="false" ht="7.5" hidden="false" customHeight="true" outlineLevel="0" collapsed="false"/>
    <row r="4" customFormat="false" ht="19.5" hidden="false" customHeight="true" outlineLevel="0" collapsed="false">
      <c r="B4" s="6" t="s">
        <v>53</v>
      </c>
      <c r="C4" s="6"/>
      <c r="D4" s="6"/>
      <c r="E4" s="6"/>
    </row>
    <row r="5" customFormat="false" ht="15.75" hidden="false" customHeight="true" outlineLevel="0" collapsed="false">
      <c r="B5" s="8" t="s">
        <v>54</v>
      </c>
      <c r="C5" s="8" t="s">
        <v>55</v>
      </c>
      <c r="D5" s="8" t="s">
        <v>11</v>
      </c>
      <c r="E5" s="8"/>
    </row>
    <row r="6" customFormat="false" ht="18" hidden="false" customHeight="true" outlineLevel="0" collapsed="false">
      <c r="B6" s="24" t="s">
        <v>56</v>
      </c>
      <c r="C6" s="25" t="n">
        <v>0</v>
      </c>
      <c r="D6" s="26" t="s">
        <v>57</v>
      </c>
      <c r="E6" s="27"/>
    </row>
    <row r="7" customFormat="false" ht="18" hidden="false" customHeight="true" outlineLevel="0" collapsed="false">
      <c r="B7" s="28" t="s">
        <v>58</v>
      </c>
      <c r="C7" s="29" t="n">
        <v>0</v>
      </c>
      <c r="D7" s="30" t="s">
        <v>59</v>
      </c>
      <c r="E7" s="31"/>
    </row>
    <row r="8" customFormat="false" ht="18" hidden="false" customHeight="true" outlineLevel="0" collapsed="false">
      <c r="B8" s="24" t="s">
        <v>60</v>
      </c>
      <c r="C8" s="32" t="n">
        <v>0</v>
      </c>
      <c r="D8" s="26" t="s">
        <v>61</v>
      </c>
      <c r="E8" s="27"/>
    </row>
    <row r="9" customFormat="false" ht="18" hidden="false" customHeight="true" outlineLevel="0" collapsed="false">
      <c r="B9" s="28" t="s">
        <v>62</v>
      </c>
      <c r="C9" s="29" t="n">
        <v>0</v>
      </c>
      <c r="D9" s="30" t="s">
        <v>63</v>
      </c>
      <c r="E9" s="31"/>
    </row>
    <row r="10" customFormat="false" ht="18" hidden="false" customHeight="true" outlineLevel="0" collapsed="false">
      <c r="B10" s="13" t="s">
        <v>64</v>
      </c>
      <c r="C10" s="33" t="n">
        <f aca="false">C7+C9</f>
        <v>0</v>
      </c>
      <c r="D10" s="26" t="s">
        <v>65</v>
      </c>
      <c r="E10" s="27"/>
    </row>
    <row r="12" customFormat="false" ht="9.75" hidden="false" customHeight="true" outlineLevel="0" collapsed="false"/>
    <row r="13" customFormat="false" ht="19.5" hidden="false" customHeight="true" outlineLevel="0" collapsed="false">
      <c r="B13" s="6" t="s">
        <v>66</v>
      </c>
      <c r="C13" s="6"/>
      <c r="D13" s="6"/>
      <c r="E13" s="6"/>
    </row>
    <row r="14" customFormat="false" ht="15.75" hidden="false" customHeight="true" outlineLevel="0" collapsed="false">
      <c r="B14" s="8" t="s">
        <v>67</v>
      </c>
      <c r="C14" s="8" t="s">
        <v>68</v>
      </c>
      <c r="D14" s="8" t="s">
        <v>69</v>
      </c>
      <c r="E14" s="8" t="s">
        <v>70</v>
      </c>
    </row>
    <row r="15" customFormat="false" ht="18" hidden="false" customHeight="true" outlineLevel="0" collapsed="false">
      <c r="B15" s="13" t="s">
        <v>71</v>
      </c>
      <c r="C15" s="33" t="n">
        <f aca="false">C10*20</f>
        <v>0</v>
      </c>
      <c r="D15" s="34" t="s">
        <v>72</v>
      </c>
      <c r="E15" s="35" t="s">
        <v>73</v>
      </c>
    </row>
    <row r="16" customFormat="false" ht="18" hidden="false" customHeight="true" outlineLevel="0" collapsed="false">
      <c r="B16" s="15" t="s">
        <v>74</v>
      </c>
      <c r="C16" s="36" t="n">
        <f aca="false">C10*25</f>
        <v>0</v>
      </c>
      <c r="D16" s="37" t="s">
        <v>75</v>
      </c>
      <c r="E16" s="38" t="s">
        <v>76</v>
      </c>
    </row>
    <row r="17" customFormat="false" ht="18" hidden="false" customHeight="true" outlineLevel="0" collapsed="false">
      <c r="B17" s="13" t="s">
        <v>77</v>
      </c>
      <c r="C17" s="33" t="n">
        <f aca="false">C10*30</f>
        <v>0</v>
      </c>
      <c r="D17" s="34" t="s">
        <v>78</v>
      </c>
      <c r="E17" s="35" t="s">
        <v>79</v>
      </c>
    </row>
    <row r="18" customFormat="false" ht="18" hidden="false" customHeight="true" outlineLevel="0" collapsed="false">
      <c r="B18" s="15" t="s">
        <v>80</v>
      </c>
      <c r="C18" s="36" t="n">
        <f aca="false">C10*33</f>
        <v>0</v>
      </c>
      <c r="D18" s="37" t="s">
        <v>81</v>
      </c>
      <c r="E18" s="38" t="s">
        <v>82</v>
      </c>
    </row>
    <row r="20" customFormat="false" ht="9.75" hidden="false" customHeight="true" outlineLevel="0" collapsed="false"/>
    <row r="21" customFormat="false" ht="19.5" hidden="false" customHeight="true" outlineLevel="0" collapsed="false">
      <c r="B21" s="6" t="s">
        <v>83</v>
      </c>
      <c r="C21" s="6"/>
      <c r="D21" s="6"/>
      <c r="E21" s="6"/>
    </row>
    <row r="22" customFormat="false" ht="15.75" hidden="false" customHeight="true" outlineLevel="0" collapsed="false">
      <c r="B22" s="8" t="s">
        <v>54</v>
      </c>
      <c r="C22" s="8" t="s">
        <v>84</v>
      </c>
      <c r="D22" s="8" t="s">
        <v>11</v>
      </c>
      <c r="E22" s="8"/>
    </row>
    <row r="23" customFormat="false" ht="18" hidden="false" customHeight="true" outlineLevel="0" collapsed="false">
      <c r="B23" s="24" t="s">
        <v>85</v>
      </c>
      <c r="C23" s="25" t="n">
        <v>0</v>
      </c>
      <c r="D23" s="26" t="s">
        <v>86</v>
      </c>
      <c r="E23" s="27"/>
    </row>
    <row r="24" customFormat="false" ht="18" hidden="false" customHeight="true" outlineLevel="0" collapsed="false">
      <c r="B24" s="28" t="s">
        <v>87</v>
      </c>
      <c r="C24" s="39" t="n">
        <v>0</v>
      </c>
      <c r="D24" s="30" t="s">
        <v>88</v>
      </c>
      <c r="E24" s="31"/>
    </row>
    <row r="25" customFormat="false" ht="18" hidden="false" customHeight="true" outlineLevel="0" collapsed="false">
      <c r="B25" s="13" t="s">
        <v>89</v>
      </c>
      <c r="C25" s="33" t="n">
        <f aca="false">C23*C24</f>
        <v>0</v>
      </c>
      <c r="D25" s="26" t="s">
        <v>90</v>
      </c>
      <c r="E25" s="27"/>
    </row>
    <row r="27" customFormat="false" ht="9.75" hidden="false" customHeight="true" outlineLevel="0" collapsed="false"/>
    <row r="28" customFormat="false" ht="15.75" hidden="false" customHeight="true" outlineLevel="0" collapsed="false">
      <c r="B28" s="19" t="s">
        <v>46</v>
      </c>
      <c r="C28" s="19"/>
      <c r="D28" s="19"/>
      <c r="E28" s="19"/>
    </row>
    <row r="29" customFormat="false" ht="13.5" hidden="false" customHeight="true" outlineLevel="0" collapsed="false">
      <c r="B29" s="20" t="s">
        <v>47</v>
      </c>
      <c r="C29" s="20"/>
      <c r="D29" s="20"/>
      <c r="E29" s="20"/>
    </row>
    <row r="30" customFormat="false" ht="13.5" hidden="false" customHeight="true" outlineLevel="0" collapsed="false">
      <c r="B30" s="20" t="s">
        <v>48</v>
      </c>
      <c r="C30" s="20"/>
      <c r="D30" s="20"/>
      <c r="E30" s="20"/>
    </row>
    <row r="31" customFormat="false" ht="13.5" hidden="false" customHeight="true" outlineLevel="0" collapsed="false">
      <c r="B31" s="20" t="s">
        <v>49</v>
      </c>
      <c r="C31" s="20"/>
      <c r="D31" s="20"/>
      <c r="E31" s="20"/>
    </row>
    <row r="32" customFormat="false" ht="13.5" hidden="false" customHeight="true" outlineLevel="0" collapsed="false">
      <c r="B32" s="21" t="s">
        <v>50</v>
      </c>
      <c r="C32" s="21"/>
      <c r="D32" s="21"/>
      <c r="E32" s="21"/>
    </row>
  </sheetData>
  <mergeCells count="10">
    <mergeCell ref="B1:E1"/>
    <mergeCell ref="B2:E2"/>
    <mergeCell ref="B4:E4"/>
    <mergeCell ref="B13:E13"/>
    <mergeCell ref="B21:E21"/>
    <mergeCell ref="B28:E28"/>
    <mergeCell ref="B29:E29"/>
    <mergeCell ref="B30:E30"/>
    <mergeCell ref="B31:E31"/>
    <mergeCell ref="B32:E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8"/>
    <col collapsed="false" customWidth="true" hidden="false" outlineLevel="0" max="4" min="3" style="0" width="18"/>
    <col collapsed="false" customWidth="true" hidden="false" outlineLevel="0" max="5" min="5" style="0" width="24"/>
    <col collapsed="false" customWidth="true" hidden="false" outlineLevel="0" max="6" min="6" style="0" width="2"/>
  </cols>
  <sheetData>
    <row r="1" customFormat="false" ht="31.5" hidden="false" customHeight="true" outlineLevel="0" collapsed="false">
      <c r="B1" s="22" t="s">
        <v>91</v>
      </c>
      <c r="C1" s="22"/>
      <c r="D1" s="22"/>
      <c r="E1" s="22"/>
    </row>
    <row r="2" customFormat="false" ht="15.75" hidden="false" customHeight="true" outlineLevel="0" collapsed="false">
      <c r="B2" s="23" t="s">
        <v>92</v>
      </c>
      <c r="C2" s="23"/>
      <c r="D2" s="23"/>
      <c r="E2" s="23"/>
    </row>
    <row r="3" customFormat="false" ht="7.5" hidden="false" customHeight="true" outlineLevel="0" collapsed="false"/>
    <row r="4" customFormat="false" ht="19.5" hidden="false" customHeight="true" outlineLevel="0" collapsed="false">
      <c r="B4" s="6" t="s">
        <v>93</v>
      </c>
      <c r="C4" s="6"/>
      <c r="D4" s="6"/>
      <c r="E4" s="6"/>
    </row>
    <row r="5" customFormat="false" ht="15.75" hidden="false" customHeight="true" outlineLevel="0" collapsed="false">
      <c r="B5" s="8" t="s">
        <v>94</v>
      </c>
      <c r="C5" s="8" t="s">
        <v>95</v>
      </c>
      <c r="D5" s="8" t="s">
        <v>11</v>
      </c>
      <c r="E5" s="8"/>
    </row>
    <row r="6" customFormat="false" ht="18" hidden="false" customHeight="true" outlineLevel="0" collapsed="false">
      <c r="B6" s="24" t="s">
        <v>96</v>
      </c>
      <c r="C6" s="40" t="n">
        <v>0</v>
      </c>
      <c r="D6" s="26"/>
      <c r="E6" s="27"/>
    </row>
    <row r="7" customFormat="false" ht="18" hidden="false" customHeight="true" outlineLevel="0" collapsed="false">
      <c r="B7" s="28" t="s">
        <v>97</v>
      </c>
      <c r="C7" s="41" t="n">
        <v>0</v>
      </c>
      <c r="D7" s="30" t="s">
        <v>98</v>
      </c>
      <c r="E7" s="31"/>
    </row>
    <row r="8" customFormat="false" ht="18" hidden="false" customHeight="true" outlineLevel="0" collapsed="false">
      <c r="B8" s="13" t="s">
        <v>99</v>
      </c>
      <c r="C8" s="42" t="n">
        <f aca="false">C7-C6</f>
        <v>0</v>
      </c>
      <c r="D8" s="26" t="s">
        <v>65</v>
      </c>
      <c r="E8" s="27"/>
    </row>
    <row r="9" customFormat="false" ht="18" hidden="false" customHeight="true" outlineLevel="0" collapsed="false">
      <c r="B9" s="28" t="s">
        <v>100</v>
      </c>
      <c r="C9" s="29" t="n">
        <v>0</v>
      </c>
      <c r="D9" s="30" t="s">
        <v>101</v>
      </c>
      <c r="E9" s="31"/>
    </row>
    <row r="10" customFormat="false" ht="18" hidden="false" customHeight="true" outlineLevel="0" collapsed="false">
      <c r="B10" s="24" t="s">
        <v>102</v>
      </c>
      <c r="C10" s="25" t="n">
        <v>0</v>
      </c>
      <c r="D10" s="26" t="s">
        <v>103</v>
      </c>
      <c r="E10" s="27"/>
    </row>
    <row r="11" customFormat="false" ht="18" hidden="false" customHeight="true" outlineLevel="0" collapsed="false">
      <c r="B11" s="15" t="s">
        <v>104</v>
      </c>
      <c r="C11" s="43" t="n">
        <f aca="false">IFERROR(C10/C9,0)</f>
        <v>0</v>
      </c>
      <c r="D11" s="30" t="s">
        <v>105</v>
      </c>
      <c r="E11" s="31"/>
    </row>
    <row r="12" customFormat="false" ht="18" hidden="false" customHeight="true" outlineLevel="0" collapsed="false">
      <c r="B12" s="24" t="s">
        <v>106</v>
      </c>
      <c r="C12" s="25" t="n">
        <v>0</v>
      </c>
      <c r="D12" s="26"/>
      <c r="E12" s="27"/>
    </row>
    <row r="13" customFormat="false" ht="18" hidden="false" customHeight="true" outlineLevel="0" collapsed="false">
      <c r="B13" s="15" t="s">
        <v>107</v>
      </c>
      <c r="C13" s="36" t="n">
        <f aca="false">C12*12</f>
        <v>0</v>
      </c>
      <c r="D13" s="30" t="s">
        <v>65</v>
      </c>
      <c r="E13" s="31"/>
    </row>
    <row r="14" customFormat="false" ht="18" hidden="false" customHeight="true" outlineLevel="0" collapsed="false">
      <c r="B14" s="24" t="s">
        <v>108</v>
      </c>
      <c r="C14" s="32" t="n">
        <v>0</v>
      </c>
      <c r="D14" s="26" t="s">
        <v>109</v>
      </c>
      <c r="E14" s="27"/>
    </row>
    <row r="15" customFormat="false" ht="18" hidden="false" customHeight="true" outlineLevel="0" collapsed="false">
      <c r="B15" s="15" t="s">
        <v>110</v>
      </c>
      <c r="C15" s="44" t="n">
        <f aca="true">IFERROR(DATE(YEAR(TODAY())+ROUND(IFERROR(NPER(C14/12,-C12,C10,C9*-1),C8),0),MONTH(TODAY()),1),"Enter inputs")</f>
        <v>46082</v>
      </c>
      <c r="D15" s="30" t="s">
        <v>111</v>
      </c>
      <c r="E15" s="31"/>
    </row>
    <row r="17" customFormat="false" ht="9.75" hidden="false" customHeight="true" outlineLevel="0" collapsed="false"/>
    <row r="18" customFormat="false" ht="19.5" hidden="false" customHeight="true" outlineLevel="0" collapsed="false">
      <c r="B18" s="6" t="s">
        <v>112</v>
      </c>
      <c r="C18" s="6"/>
      <c r="D18" s="6"/>
      <c r="E18" s="6"/>
    </row>
    <row r="19" customFormat="false" ht="15.75" hidden="false" customHeight="true" outlineLevel="0" collapsed="false">
      <c r="B19" s="45" t="s">
        <v>113</v>
      </c>
      <c r="C19" s="8" t="s">
        <v>114</v>
      </c>
      <c r="D19" s="45" t="s">
        <v>115</v>
      </c>
      <c r="E19" s="8" t="s">
        <v>116</v>
      </c>
    </row>
    <row r="20" customFormat="false" ht="30" hidden="false" customHeight="true" outlineLevel="0" collapsed="false">
      <c r="B20" s="46" t="n">
        <f aca="false">C9</f>
        <v>0</v>
      </c>
      <c r="C20" s="47" t="n">
        <f aca="false">C10</f>
        <v>0</v>
      </c>
      <c r="D20" s="48" t="n">
        <f aca="false">IFERROR(C10/C9,0)</f>
        <v>0</v>
      </c>
      <c r="E20" s="49" t="n">
        <f aca="false">IFERROR(ROUND(NPER(C14/12,-C12,C10,C9*-1)/12,1),C8-C6)</f>
        <v>0</v>
      </c>
    </row>
    <row r="21" customFormat="false" ht="9.75" hidden="false" customHeight="true" outlineLevel="0" collapsed="false"/>
    <row r="22" customFormat="false" ht="15.75" hidden="false" customHeight="true" outlineLevel="0" collapsed="false">
      <c r="B22" s="19" t="s">
        <v>46</v>
      </c>
      <c r="C22" s="19"/>
      <c r="D22" s="19"/>
      <c r="E22" s="19"/>
    </row>
    <row r="23" customFormat="false" ht="13.5" hidden="false" customHeight="true" outlineLevel="0" collapsed="false">
      <c r="B23" s="20" t="s">
        <v>47</v>
      </c>
      <c r="C23" s="20"/>
      <c r="D23" s="20"/>
      <c r="E23" s="20"/>
    </row>
    <row r="24" customFormat="false" ht="13.5" hidden="false" customHeight="true" outlineLevel="0" collapsed="false">
      <c r="B24" s="20" t="s">
        <v>48</v>
      </c>
      <c r="C24" s="20"/>
      <c r="D24" s="20"/>
      <c r="E24" s="20"/>
    </row>
    <row r="25" customFormat="false" ht="13.5" hidden="false" customHeight="true" outlineLevel="0" collapsed="false">
      <c r="B25" s="20" t="s">
        <v>49</v>
      </c>
      <c r="C25" s="20"/>
      <c r="D25" s="20"/>
      <c r="E25" s="20"/>
    </row>
    <row r="26" customFormat="false" ht="13.5" hidden="false" customHeight="true" outlineLevel="0" collapsed="false">
      <c r="B26" s="21" t="s">
        <v>50</v>
      </c>
      <c r="C26" s="21"/>
      <c r="D26" s="21"/>
      <c r="E26" s="21"/>
    </row>
  </sheetData>
  <mergeCells count="9">
    <mergeCell ref="B1:E1"/>
    <mergeCell ref="B2:E2"/>
    <mergeCell ref="B4:E4"/>
    <mergeCell ref="B18:E18"/>
    <mergeCell ref="B22:E22"/>
    <mergeCell ref="B23:E23"/>
    <mergeCell ref="B24:E24"/>
    <mergeCell ref="B25:E25"/>
    <mergeCell ref="B26:E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2"/>
    <col collapsed="false" customWidth="true" hidden="false" outlineLevel="0" max="7" min="3" style="0" width="18"/>
    <col collapsed="false" customWidth="true" hidden="false" outlineLevel="0" max="8" min="8" style="0" width="2"/>
  </cols>
  <sheetData>
    <row r="1" customFormat="false" ht="31.5" hidden="false" customHeight="true" outlineLevel="0" collapsed="false">
      <c r="B1" s="22" t="s">
        <v>117</v>
      </c>
      <c r="C1" s="22"/>
      <c r="D1" s="22"/>
      <c r="E1" s="22"/>
    </row>
    <row r="2" customFormat="false" ht="15.75" hidden="false" customHeight="true" outlineLevel="0" collapsed="false">
      <c r="B2" s="23" t="s">
        <v>118</v>
      </c>
      <c r="C2" s="23"/>
      <c r="D2" s="23"/>
      <c r="E2" s="23"/>
    </row>
    <row r="3" customFormat="false" ht="7.5" hidden="false" customHeight="true" outlineLevel="0" collapsed="false"/>
    <row r="4" customFormat="false" ht="19.5" hidden="false" customHeight="true" outlineLevel="0" collapsed="false">
      <c r="B4" s="6" t="s">
        <v>119</v>
      </c>
      <c r="C4" s="6"/>
      <c r="D4" s="6"/>
      <c r="E4" s="6"/>
      <c r="F4" s="6"/>
      <c r="G4" s="6"/>
    </row>
    <row r="5" customFormat="false" ht="15.75" hidden="false" customHeight="true" outlineLevel="0" collapsed="false">
      <c r="B5" s="8" t="s">
        <v>120</v>
      </c>
      <c r="C5" s="8" t="s">
        <v>121</v>
      </c>
      <c r="D5" s="8" t="s">
        <v>122</v>
      </c>
      <c r="E5" s="8" t="s">
        <v>123</v>
      </c>
      <c r="F5" s="8" t="s">
        <v>124</v>
      </c>
      <c r="G5" s="8" t="s">
        <v>125</v>
      </c>
    </row>
    <row r="6" customFormat="false" ht="18" hidden="false" customHeight="true" outlineLevel="0" collapsed="false">
      <c r="B6" s="50" t="n">
        <f aca="true">YEAR(TODAY())+0</f>
        <v>2026</v>
      </c>
      <c r="C6" s="51" t="n">
        <f aca="false">'📈 Progress Tracker'!C6+0</f>
        <v>0</v>
      </c>
      <c r="D6" s="52" t="n">
        <f aca="false">'📈 Progress Tracker'!C10</f>
        <v>0</v>
      </c>
      <c r="E6" s="53" t="n">
        <f aca="false">'📈 Progress Tracker'!C13</f>
        <v>0</v>
      </c>
      <c r="F6" s="52" t="n">
        <f aca="false">(D6+E6)*'📈 Progress Tracker'!C14</f>
        <v>0</v>
      </c>
      <c r="G6" s="54" t="n">
        <f aca="false">D6+E6+F6</f>
        <v>0</v>
      </c>
    </row>
    <row r="7" customFormat="false" ht="18" hidden="false" customHeight="true" outlineLevel="0" collapsed="false">
      <c r="B7" s="55" t="n">
        <f aca="false">B6+1</f>
        <v>2027</v>
      </c>
      <c r="C7" s="56" t="n">
        <f aca="false">'📈 Progress Tracker'!C6+1</f>
        <v>1</v>
      </c>
      <c r="D7" s="57" t="n">
        <f aca="false">G6</f>
        <v>0</v>
      </c>
      <c r="E7" s="58" t="n">
        <f aca="false">'📈 Progress Tracker'!C13</f>
        <v>0</v>
      </c>
      <c r="F7" s="57" t="n">
        <f aca="false">(D7+E7)*'📈 Progress Tracker'!C14</f>
        <v>0</v>
      </c>
      <c r="G7" s="59" t="n">
        <f aca="false">D7+E7+F7</f>
        <v>0</v>
      </c>
    </row>
    <row r="8" customFormat="false" ht="18" hidden="false" customHeight="true" outlineLevel="0" collapsed="false">
      <c r="B8" s="50" t="n">
        <f aca="false">B7+1</f>
        <v>2028</v>
      </c>
      <c r="C8" s="51" t="n">
        <f aca="false">'📈 Progress Tracker'!C6+2</f>
        <v>2</v>
      </c>
      <c r="D8" s="52" t="n">
        <f aca="false">G7</f>
        <v>0</v>
      </c>
      <c r="E8" s="53" t="n">
        <f aca="false">'📈 Progress Tracker'!C13</f>
        <v>0</v>
      </c>
      <c r="F8" s="52" t="n">
        <f aca="false">(D8+E8)*'📈 Progress Tracker'!C14</f>
        <v>0</v>
      </c>
      <c r="G8" s="54" t="n">
        <f aca="false">D8+E8+F8</f>
        <v>0</v>
      </c>
    </row>
    <row r="9" customFormat="false" ht="18" hidden="false" customHeight="true" outlineLevel="0" collapsed="false">
      <c r="B9" s="55" t="n">
        <f aca="false">B8+1</f>
        <v>2029</v>
      </c>
      <c r="C9" s="56" t="n">
        <f aca="false">'📈 Progress Tracker'!C6+3</f>
        <v>3</v>
      </c>
      <c r="D9" s="57" t="n">
        <f aca="false">G8</f>
        <v>0</v>
      </c>
      <c r="E9" s="58" t="n">
        <f aca="false">'📈 Progress Tracker'!C13</f>
        <v>0</v>
      </c>
      <c r="F9" s="57" t="n">
        <f aca="false">(D9+E9)*'📈 Progress Tracker'!C14</f>
        <v>0</v>
      </c>
      <c r="G9" s="59" t="n">
        <f aca="false">D9+E9+F9</f>
        <v>0</v>
      </c>
    </row>
    <row r="10" customFormat="false" ht="18" hidden="false" customHeight="true" outlineLevel="0" collapsed="false">
      <c r="B10" s="50" t="n">
        <f aca="false">B9+1</f>
        <v>2030</v>
      </c>
      <c r="C10" s="51" t="n">
        <f aca="false">'📈 Progress Tracker'!C6+4</f>
        <v>4</v>
      </c>
      <c r="D10" s="52" t="n">
        <f aca="false">G9</f>
        <v>0</v>
      </c>
      <c r="E10" s="53" t="n">
        <f aca="false">'📈 Progress Tracker'!C13</f>
        <v>0</v>
      </c>
      <c r="F10" s="52" t="n">
        <f aca="false">(D10+E10)*'📈 Progress Tracker'!C14</f>
        <v>0</v>
      </c>
      <c r="G10" s="54" t="n">
        <f aca="false">D10+E10+F10</f>
        <v>0</v>
      </c>
    </row>
    <row r="11" customFormat="false" ht="18" hidden="false" customHeight="true" outlineLevel="0" collapsed="false">
      <c r="B11" s="55" t="n">
        <f aca="false">B10+1</f>
        <v>2031</v>
      </c>
      <c r="C11" s="56" t="n">
        <f aca="false">'📈 Progress Tracker'!C6+5</f>
        <v>5</v>
      </c>
      <c r="D11" s="57" t="n">
        <f aca="false">G10</f>
        <v>0</v>
      </c>
      <c r="E11" s="58" t="n">
        <f aca="false">'📈 Progress Tracker'!C13</f>
        <v>0</v>
      </c>
      <c r="F11" s="57" t="n">
        <f aca="false">(D11+E11)*'📈 Progress Tracker'!C14</f>
        <v>0</v>
      </c>
      <c r="G11" s="59" t="n">
        <f aca="false">D11+E11+F11</f>
        <v>0</v>
      </c>
    </row>
    <row r="12" customFormat="false" ht="18" hidden="false" customHeight="true" outlineLevel="0" collapsed="false">
      <c r="B12" s="50" t="n">
        <f aca="false">B11+1</f>
        <v>2032</v>
      </c>
      <c r="C12" s="51" t="n">
        <f aca="false">'📈 Progress Tracker'!C6+6</f>
        <v>6</v>
      </c>
      <c r="D12" s="52" t="n">
        <f aca="false">G11</f>
        <v>0</v>
      </c>
      <c r="E12" s="53" t="n">
        <f aca="false">'📈 Progress Tracker'!C13</f>
        <v>0</v>
      </c>
      <c r="F12" s="52" t="n">
        <f aca="false">(D12+E12)*'📈 Progress Tracker'!C14</f>
        <v>0</v>
      </c>
      <c r="G12" s="54" t="n">
        <f aca="false">D12+E12+F12</f>
        <v>0</v>
      </c>
    </row>
    <row r="13" customFormat="false" ht="18" hidden="false" customHeight="true" outlineLevel="0" collapsed="false">
      <c r="B13" s="55" t="n">
        <f aca="false">B12+1</f>
        <v>2033</v>
      </c>
      <c r="C13" s="56" t="n">
        <f aca="false">'📈 Progress Tracker'!C6+7</f>
        <v>7</v>
      </c>
      <c r="D13" s="57" t="n">
        <f aca="false">G12</f>
        <v>0</v>
      </c>
      <c r="E13" s="58" t="n">
        <f aca="false">'📈 Progress Tracker'!C13</f>
        <v>0</v>
      </c>
      <c r="F13" s="57" t="n">
        <f aca="false">(D13+E13)*'📈 Progress Tracker'!C14</f>
        <v>0</v>
      </c>
      <c r="G13" s="59" t="n">
        <f aca="false">D13+E13+F13</f>
        <v>0</v>
      </c>
    </row>
    <row r="14" customFormat="false" ht="18" hidden="false" customHeight="true" outlineLevel="0" collapsed="false">
      <c r="B14" s="50" t="n">
        <f aca="false">B13+1</f>
        <v>2034</v>
      </c>
      <c r="C14" s="51" t="n">
        <f aca="false">'📈 Progress Tracker'!C6+8</f>
        <v>8</v>
      </c>
      <c r="D14" s="52" t="n">
        <f aca="false">G13</f>
        <v>0</v>
      </c>
      <c r="E14" s="53" t="n">
        <f aca="false">'📈 Progress Tracker'!C13</f>
        <v>0</v>
      </c>
      <c r="F14" s="52" t="n">
        <f aca="false">(D14+E14)*'📈 Progress Tracker'!C14</f>
        <v>0</v>
      </c>
      <c r="G14" s="54" t="n">
        <f aca="false">D14+E14+F14</f>
        <v>0</v>
      </c>
    </row>
    <row r="15" customFormat="false" ht="18" hidden="false" customHeight="true" outlineLevel="0" collapsed="false">
      <c r="B15" s="55" t="n">
        <f aca="false">B14+1</f>
        <v>2035</v>
      </c>
      <c r="C15" s="56" t="n">
        <f aca="false">'📈 Progress Tracker'!C6+9</f>
        <v>9</v>
      </c>
      <c r="D15" s="57" t="n">
        <f aca="false">G14</f>
        <v>0</v>
      </c>
      <c r="E15" s="58" t="n">
        <f aca="false">'📈 Progress Tracker'!C13</f>
        <v>0</v>
      </c>
      <c r="F15" s="57" t="n">
        <f aca="false">(D15+E15)*'📈 Progress Tracker'!C14</f>
        <v>0</v>
      </c>
      <c r="G15" s="59" t="n">
        <f aca="false">D15+E15+F15</f>
        <v>0</v>
      </c>
    </row>
    <row r="16" customFormat="false" ht="18" hidden="false" customHeight="true" outlineLevel="0" collapsed="false">
      <c r="B16" s="50" t="n">
        <f aca="false">B15+1</f>
        <v>2036</v>
      </c>
      <c r="C16" s="51" t="n">
        <f aca="false">'📈 Progress Tracker'!C6+10</f>
        <v>10</v>
      </c>
      <c r="D16" s="52" t="n">
        <f aca="false">G15</f>
        <v>0</v>
      </c>
      <c r="E16" s="53" t="n">
        <f aca="false">'📈 Progress Tracker'!C13</f>
        <v>0</v>
      </c>
      <c r="F16" s="52" t="n">
        <f aca="false">(D16+E16)*'📈 Progress Tracker'!C14</f>
        <v>0</v>
      </c>
      <c r="G16" s="54" t="n">
        <f aca="false">D16+E16+F16</f>
        <v>0</v>
      </c>
    </row>
    <row r="17" customFormat="false" ht="18" hidden="false" customHeight="true" outlineLevel="0" collapsed="false">
      <c r="B17" s="55" t="n">
        <f aca="false">B16+1</f>
        <v>2037</v>
      </c>
      <c r="C17" s="56" t="n">
        <f aca="false">'📈 Progress Tracker'!C6+11</f>
        <v>11</v>
      </c>
      <c r="D17" s="57" t="n">
        <f aca="false">G16</f>
        <v>0</v>
      </c>
      <c r="E17" s="58" t="n">
        <f aca="false">'📈 Progress Tracker'!C13</f>
        <v>0</v>
      </c>
      <c r="F17" s="57" t="n">
        <f aca="false">(D17+E17)*'📈 Progress Tracker'!C14</f>
        <v>0</v>
      </c>
      <c r="G17" s="59" t="n">
        <f aca="false">D17+E17+F17</f>
        <v>0</v>
      </c>
    </row>
    <row r="18" customFormat="false" ht="18" hidden="false" customHeight="true" outlineLevel="0" collapsed="false">
      <c r="B18" s="50" t="n">
        <f aca="false">B17+1</f>
        <v>2038</v>
      </c>
      <c r="C18" s="51" t="n">
        <f aca="false">'📈 Progress Tracker'!C6+12</f>
        <v>12</v>
      </c>
      <c r="D18" s="52" t="n">
        <f aca="false">G17</f>
        <v>0</v>
      </c>
      <c r="E18" s="53" t="n">
        <f aca="false">'📈 Progress Tracker'!C13</f>
        <v>0</v>
      </c>
      <c r="F18" s="52" t="n">
        <f aca="false">(D18+E18)*'📈 Progress Tracker'!C14</f>
        <v>0</v>
      </c>
      <c r="G18" s="54" t="n">
        <f aca="false">D18+E18+F18</f>
        <v>0</v>
      </c>
    </row>
    <row r="19" customFormat="false" ht="18" hidden="false" customHeight="true" outlineLevel="0" collapsed="false">
      <c r="B19" s="55" t="n">
        <f aca="false">B18+1</f>
        <v>2039</v>
      </c>
      <c r="C19" s="56" t="n">
        <f aca="false">'📈 Progress Tracker'!C6+13</f>
        <v>13</v>
      </c>
      <c r="D19" s="57" t="n">
        <f aca="false">G18</f>
        <v>0</v>
      </c>
      <c r="E19" s="58" t="n">
        <f aca="false">'📈 Progress Tracker'!C13</f>
        <v>0</v>
      </c>
      <c r="F19" s="57" t="n">
        <f aca="false">(D19+E19)*'📈 Progress Tracker'!C14</f>
        <v>0</v>
      </c>
      <c r="G19" s="59" t="n">
        <f aca="false">D19+E19+F19</f>
        <v>0</v>
      </c>
    </row>
    <row r="20" customFormat="false" ht="18" hidden="false" customHeight="true" outlineLevel="0" collapsed="false">
      <c r="B20" s="50" t="n">
        <f aca="false">B19+1</f>
        <v>2040</v>
      </c>
      <c r="C20" s="51" t="n">
        <f aca="false">'📈 Progress Tracker'!C6+14</f>
        <v>14</v>
      </c>
      <c r="D20" s="52" t="n">
        <f aca="false">G19</f>
        <v>0</v>
      </c>
      <c r="E20" s="53" t="n">
        <f aca="false">'📈 Progress Tracker'!C13</f>
        <v>0</v>
      </c>
      <c r="F20" s="52" t="n">
        <f aca="false">(D20+E20)*'📈 Progress Tracker'!C14</f>
        <v>0</v>
      </c>
      <c r="G20" s="54" t="n">
        <f aca="false">D20+E20+F20</f>
        <v>0</v>
      </c>
    </row>
    <row r="21" customFormat="false" ht="18" hidden="false" customHeight="true" outlineLevel="0" collapsed="false">
      <c r="B21" s="55" t="n">
        <f aca="false">B20+1</f>
        <v>2041</v>
      </c>
      <c r="C21" s="56" t="n">
        <f aca="false">'📈 Progress Tracker'!C6+15</f>
        <v>15</v>
      </c>
      <c r="D21" s="57" t="n">
        <f aca="false">G20</f>
        <v>0</v>
      </c>
      <c r="E21" s="58" t="n">
        <f aca="false">'📈 Progress Tracker'!C13</f>
        <v>0</v>
      </c>
      <c r="F21" s="57" t="n">
        <f aca="false">(D21+E21)*'📈 Progress Tracker'!C14</f>
        <v>0</v>
      </c>
      <c r="G21" s="59" t="n">
        <f aca="false">D21+E21+F21</f>
        <v>0</v>
      </c>
    </row>
    <row r="22" customFormat="false" ht="18" hidden="false" customHeight="true" outlineLevel="0" collapsed="false">
      <c r="B22" s="50" t="n">
        <f aca="false">B21+1</f>
        <v>2042</v>
      </c>
      <c r="C22" s="51" t="n">
        <f aca="false">'📈 Progress Tracker'!C6+16</f>
        <v>16</v>
      </c>
      <c r="D22" s="52" t="n">
        <f aca="false">G21</f>
        <v>0</v>
      </c>
      <c r="E22" s="53" t="n">
        <f aca="false">'📈 Progress Tracker'!C13</f>
        <v>0</v>
      </c>
      <c r="F22" s="52" t="n">
        <f aca="false">(D22+E22)*'📈 Progress Tracker'!C14</f>
        <v>0</v>
      </c>
      <c r="G22" s="54" t="n">
        <f aca="false">D22+E22+F22</f>
        <v>0</v>
      </c>
    </row>
    <row r="23" customFormat="false" ht="18" hidden="false" customHeight="true" outlineLevel="0" collapsed="false">
      <c r="B23" s="55" t="n">
        <f aca="false">B22+1</f>
        <v>2043</v>
      </c>
      <c r="C23" s="56" t="n">
        <f aca="false">'📈 Progress Tracker'!C6+17</f>
        <v>17</v>
      </c>
      <c r="D23" s="57" t="n">
        <f aca="false">G22</f>
        <v>0</v>
      </c>
      <c r="E23" s="58" t="n">
        <f aca="false">'📈 Progress Tracker'!C13</f>
        <v>0</v>
      </c>
      <c r="F23" s="57" t="n">
        <f aca="false">(D23+E23)*'📈 Progress Tracker'!C14</f>
        <v>0</v>
      </c>
      <c r="G23" s="59" t="n">
        <f aca="false">D23+E23+F23</f>
        <v>0</v>
      </c>
    </row>
    <row r="24" customFormat="false" ht="18" hidden="false" customHeight="true" outlineLevel="0" collapsed="false">
      <c r="B24" s="50" t="n">
        <f aca="false">B23+1</f>
        <v>2044</v>
      </c>
      <c r="C24" s="51" t="n">
        <f aca="false">'📈 Progress Tracker'!C6+18</f>
        <v>18</v>
      </c>
      <c r="D24" s="52" t="n">
        <f aca="false">G23</f>
        <v>0</v>
      </c>
      <c r="E24" s="53" t="n">
        <f aca="false">'📈 Progress Tracker'!C13</f>
        <v>0</v>
      </c>
      <c r="F24" s="52" t="n">
        <f aca="false">(D24+E24)*'📈 Progress Tracker'!C14</f>
        <v>0</v>
      </c>
      <c r="G24" s="54" t="n">
        <f aca="false">D24+E24+F24</f>
        <v>0</v>
      </c>
    </row>
    <row r="25" customFormat="false" ht="18" hidden="false" customHeight="true" outlineLevel="0" collapsed="false">
      <c r="B25" s="55" t="n">
        <f aca="false">B24+1</f>
        <v>2045</v>
      </c>
      <c r="C25" s="56" t="n">
        <f aca="false">'📈 Progress Tracker'!C6+19</f>
        <v>19</v>
      </c>
      <c r="D25" s="57" t="n">
        <f aca="false">G24</f>
        <v>0</v>
      </c>
      <c r="E25" s="58" t="n">
        <f aca="false">'📈 Progress Tracker'!C13</f>
        <v>0</v>
      </c>
      <c r="F25" s="57" t="n">
        <f aca="false">(D25+E25)*'📈 Progress Tracker'!C14</f>
        <v>0</v>
      </c>
      <c r="G25" s="59" t="n">
        <f aca="false">D25+E25+F25</f>
        <v>0</v>
      </c>
    </row>
    <row r="27" customFormat="false" ht="9.75" hidden="false" customHeight="true" outlineLevel="0" collapsed="false"/>
    <row r="28" customFormat="false" ht="15.75" hidden="false" customHeight="true" outlineLevel="0" collapsed="false">
      <c r="B28" s="19" t="s">
        <v>46</v>
      </c>
      <c r="C28" s="19"/>
      <c r="D28" s="19"/>
      <c r="E28" s="19"/>
      <c r="F28" s="19"/>
      <c r="G28" s="19"/>
    </row>
    <row r="29" customFormat="false" ht="13.5" hidden="false" customHeight="true" outlineLevel="0" collapsed="false">
      <c r="B29" s="20" t="s">
        <v>47</v>
      </c>
      <c r="C29" s="20"/>
      <c r="D29" s="20"/>
      <c r="E29" s="20"/>
      <c r="F29" s="20"/>
      <c r="G29" s="20"/>
    </row>
    <row r="30" customFormat="false" ht="13.5" hidden="false" customHeight="true" outlineLevel="0" collapsed="false">
      <c r="B30" s="20" t="s">
        <v>48</v>
      </c>
      <c r="C30" s="20"/>
      <c r="D30" s="20"/>
      <c r="E30" s="20"/>
      <c r="F30" s="20"/>
      <c r="G30" s="20"/>
    </row>
    <row r="31" customFormat="false" ht="13.5" hidden="false" customHeight="true" outlineLevel="0" collapsed="false">
      <c r="B31" s="20" t="s">
        <v>49</v>
      </c>
      <c r="C31" s="20"/>
      <c r="D31" s="20"/>
      <c r="E31" s="20"/>
      <c r="F31" s="20"/>
      <c r="G31" s="20"/>
    </row>
    <row r="32" customFormat="false" ht="13.5" hidden="false" customHeight="true" outlineLevel="0" collapsed="false">
      <c r="B32" s="21" t="s">
        <v>50</v>
      </c>
      <c r="C32" s="21"/>
      <c r="D32" s="21"/>
      <c r="E32" s="21"/>
      <c r="F32" s="21"/>
      <c r="G32" s="21"/>
    </row>
  </sheetData>
  <mergeCells count="8">
    <mergeCell ref="B1:E1"/>
    <mergeCell ref="B2:E2"/>
    <mergeCell ref="B4:G4"/>
    <mergeCell ref="B28:G28"/>
    <mergeCell ref="B29:G29"/>
    <mergeCell ref="B30:G30"/>
    <mergeCell ref="B31:G31"/>
    <mergeCell ref="B32:G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70"/>
    <col collapsed="false" customWidth="true" hidden="false" outlineLevel="0" max="3" min="3" style="0" width="2"/>
  </cols>
  <sheetData>
    <row r="1" customFormat="false" ht="31.5" hidden="false" customHeight="true" outlineLevel="0" collapsed="false">
      <c r="B1" s="22" t="s">
        <v>126</v>
      </c>
      <c r="C1" s="22"/>
      <c r="D1" s="22"/>
      <c r="E1" s="22"/>
    </row>
    <row r="2" customFormat="false" ht="15.75" hidden="false" customHeight="true" outlineLevel="0" collapsed="false">
      <c r="B2" s="23" t="s">
        <v>127</v>
      </c>
      <c r="C2" s="23"/>
      <c r="D2" s="23"/>
      <c r="E2" s="23"/>
    </row>
    <row r="4" customFormat="false" ht="21.75" hidden="false" customHeight="true" outlineLevel="0" collapsed="false">
      <c r="B4" s="60" t="s">
        <v>128</v>
      </c>
    </row>
    <row r="5" customFormat="false" ht="18" hidden="false" customHeight="true" outlineLevel="0" collapsed="false">
      <c r="B5" s="61" t="s">
        <v>129</v>
      </c>
    </row>
    <row r="6" customFormat="false" ht="18" hidden="false" customHeight="true" outlineLevel="0" collapsed="false">
      <c r="B6" s="62" t="s">
        <v>130</v>
      </c>
    </row>
    <row r="7" customFormat="false" ht="18" hidden="false" customHeight="true" outlineLevel="0" collapsed="false">
      <c r="B7" s="61" t="s">
        <v>131</v>
      </c>
    </row>
    <row r="8" customFormat="false" ht="18" hidden="false" customHeight="true" outlineLevel="0" collapsed="false">
      <c r="B8" s="62" t="s">
        <v>132</v>
      </c>
    </row>
    <row r="9" customFormat="false" ht="18" hidden="false" customHeight="true" outlineLevel="0" collapsed="false">
      <c r="B9" s="61" t="s">
        <v>133</v>
      </c>
    </row>
    <row r="12" customFormat="false" ht="21.75" hidden="false" customHeight="true" outlineLevel="0" collapsed="false">
      <c r="B12" s="63" t="s">
        <v>134</v>
      </c>
    </row>
    <row r="13" customFormat="false" ht="18" hidden="false" customHeight="true" outlineLevel="0" collapsed="false">
      <c r="B13" s="61" t="s">
        <v>135</v>
      </c>
    </row>
    <row r="14" customFormat="false" ht="18" hidden="false" customHeight="true" outlineLevel="0" collapsed="false">
      <c r="B14" s="62" t="s">
        <v>136</v>
      </c>
    </row>
    <row r="15" customFormat="false" ht="18" hidden="false" customHeight="true" outlineLevel="0" collapsed="false">
      <c r="B15" s="61" t="s">
        <v>137</v>
      </c>
    </row>
    <row r="16" customFormat="false" ht="18" hidden="false" customHeight="true" outlineLevel="0" collapsed="false">
      <c r="B16" s="62" t="s">
        <v>138</v>
      </c>
    </row>
    <row r="19" customFormat="false" ht="21.75" hidden="false" customHeight="true" outlineLevel="0" collapsed="false">
      <c r="B19" s="60" t="s">
        <v>139</v>
      </c>
    </row>
    <row r="20" customFormat="false" ht="18" hidden="false" customHeight="true" outlineLevel="0" collapsed="false">
      <c r="B20" s="61" t="s">
        <v>140</v>
      </c>
    </row>
    <row r="21" customFormat="false" ht="18" hidden="false" customHeight="true" outlineLevel="0" collapsed="false">
      <c r="B21" s="62" t="s">
        <v>141</v>
      </c>
    </row>
    <row r="22" customFormat="false" ht="18" hidden="false" customHeight="true" outlineLevel="0" collapsed="false">
      <c r="B22" s="61" t="s">
        <v>142</v>
      </c>
    </row>
    <row r="23" customFormat="false" ht="18" hidden="false" customHeight="true" outlineLevel="0" collapsed="false">
      <c r="B23" s="62" t="s">
        <v>143</v>
      </c>
    </row>
    <row r="26" customFormat="false" ht="15.75" hidden="false" customHeight="true" outlineLevel="0" collapsed="false">
      <c r="B26" s="64" t="s">
        <v>46</v>
      </c>
    </row>
    <row r="27" customFormat="false" ht="13.5" hidden="false" customHeight="true" outlineLevel="0" collapsed="false">
      <c r="B27" s="65" t="s">
        <v>47</v>
      </c>
    </row>
    <row r="28" customFormat="false" ht="13.5" hidden="false" customHeight="true" outlineLevel="0" collapsed="false">
      <c r="B28" s="65" t="s">
        <v>48</v>
      </c>
    </row>
    <row r="29" customFormat="false" ht="13.5" hidden="false" customHeight="true" outlineLevel="0" collapsed="false">
      <c r="B29" s="65" t="s">
        <v>49</v>
      </c>
    </row>
    <row r="30" customFormat="false" ht="13.5" hidden="false" customHeight="true" outlineLevel="0" collapsed="false">
      <c r="B30" s="66" t="s">
        <v>50</v>
      </c>
    </row>
  </sheetData>
  <mergeCells count="2">
    <mergeCell ref="B1:E1"/>
    <mergeCell ref="B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2026-03-14T23:26:13Z</dcterms:created>
  <dc:creator>openpyxl</dc:creator>
  <dc:description/>
  <dc:language>en-US</dc:language>
  <cp:lastModifiedBy/>
  <dcterms:modified xsi:type="dcterms:W3CDTF">2026-03-14T23:26:14Z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